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Assumptions" sheetId="2" state="visible" r:id="rId2"/>
    <sheet name="02_Cash_Flows" sheetId="3" state="visible" r:id="rId3"/>
    <sheet name="03_Returns" sheetId="4" state="visible" r:id="rId4"/>
    <sheet name="04_Sensitivity" sheetId="5" state="visible" r:id="rId5"/>
    <sheet name="05_One_Pager" sheetId="6" state="visible" r:id="rId6"/>
    <sheet name="06_Data_Dictionary" sheetId="7" state="visible" r:id="rId7"/>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_($* #,##0_);_($* (#,##0);_($* &quot;-&quot;??_);_(@_)"/>
    <numFmt numFmtId="167" formatCode="0.0"/>
  </numFmts>
  <fonts count="14">
    <font>
      <name val="Calibri"/>
      <family val="2"/>
      <color theme="1"/>
      <sz val="11"/>
      <scheme val="minor"/>
    </font>
    <font>
      <name val="Calibri"/>
      <b val="1"/>
      <color rgb="001F4E79"/>
      <sz val="16"/>
    </font>
    <font>
      <name val="Calibri"/>
      <b val="1"/>
      <color rgb="001F4E79"/>
      <sz val="12"/>
    </font>
    <font>
      <name val="Calibri"/>
      <i val="1"/>
      <color rgb="00666666"/>
      <sz val="10"/>
    </font>
    <font>
      <name val="Calibri"/>
      <b val="1"/>
      <sz val="11"/>
    </font>
    <font>
      <name val="Calibri"/>
      <b val="1"/>
      <color rgb="000000FF"/>
      <sz val="11"/>
    </font>
    <font>
      <name val="Calibri"/>
      <color rgb="000563C1"/>
      <sz val="11"/>
      <u val="single"/>
    </font>
    <font>
      <name val="Calibri"/>
      <color rgb="000000FF"/>
      <sz val="11"/>
    </font>
    <font>
      <name val="Calibri"/>
      <b val="1"/>
      <color rgb="00000000"/>
      <sz val="11"/>
    </font>
    <font>
      <name val="Calibri"/>
      <i val="1"/>
      <color rgb="00666666"/>
      <sz val="9"/>
    </font>
    <font>
      <name val="Calibri"/>
      <color rgb="00000000"/>
      <sz val="11"/>
    </font>
    <font>
      <name val="Calibri"/>
      <b val="1"/>
      <color rgb="00FFFFFF"/>
      <sz val="11"/>
    </font>
    <font>
      <name val="Calibri"/>
      <color rgb="00666666"/>
      <sz val="9"/>
    </font>
    <font>
      <name val="Calibri"/>
      <b val="1"/>
      <color rgb="001F4E79"/>
      <sz val="14"/>
    </font>
  </fonts>
  <fills count="7">
    <fill>
      <patternFill/>
    </fill>
    <fill>
      <patternFill patternType="gray125"/>
    </fill>
    <fill>
      <patternFill patternType="solid">
        <fgColor rgb="00FFF2CC"/>
      </patternFill>
    </fill>
    <fill>
      <patternFill patternType="solid">
        <fgColor rgb="00D6E3F0"/>
      </patternFill>
    </fill>
    <fill>
      <patternFill patternType="solid">
        <fgColor rgb="00C6EFCE"/>
      </patternFill>
    </fill>
    <fill>
      <patternFill patternType="solid">
        <fgColor rgb="001F4E79"/>
      </patternFill>
    </fill>
    <fill>
      <patternFill patternType="solid">
        <fgColor rgb="00E9EDF4"/>
      </patternFill>
    </fill>
  </fills>
  <borders count="6">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wrapText="1"/>
    </xf>
    <xf numFmtId="0" fontId="5" fillId="2" borderId="0" pivotButton="0" quotePrefix="0" xfId="0"/>
    <xf numFmtId="0" fontId="6" fillId="0" borderId="0" pivotButton="0" quotePrefix="0" xfId="0"/>
    <xf numFmtId="0" fontId="2" fillId="3" borderId="0" pivotButton="0" quotePrefix="0" xfId="0"/>
    <xf numFmtId="0" fontId="0" fillId="3" borderId="0" pivotButton="0" quotePrefix="0" xfId="0"/>
    <xf numFmtId="1" fontId="7" fillId="2" borderId="1" applyAlignment="1" pivotButton="0" quotePrefix="0" xfId="0">
      <alignment horizontal="center"/>
    </xf>
    <xf numFmtId="0" fontId="8" fillId="4" borderId="1" applyAlignment="1" pivotButton="0" quotePrefix="0" xfId="0">
      <alignment horizontal="center"/>
    </xf>
    <xf numFmtId="0" fontId="9" fillId="0" borderId="0" pivotButton="0" quotePrefix="0" xfId="0"/>
    <xf numFmtId="164" fontId="10" fillId="0" borderId="1" applyAlignment="1" pivotButton="0" quotePrefix="0" xfId="0">
      <alignment horizontal="center"/>
    </xf>
    <xf numFmtId="0" fontId="11" fillId="5" borderId="1" applyAlignment="1" pivotButton="0" quotePrefix="0" xfId="0">
      <alignment horizontal="center" wrapText="1"/>
    </xf>
    <xf numFmtId="0" fontId="0" fillId="0" borderId="1" pivotButton="0" quotePrefix="0" xfId="0"/>
    <xf numFmtId="164" fontId="7" fillId="2" borderId="1" applyAlignment="1" pivotButton="0" quotePrefix="0" xfId="0">
      <alignment horizontal="center"/>
    </xf>
    <xf numFmtId="0" fontId="7" fillId="2" borderId="1" applyAlignment="1" pivotButton="0" quotePrefix="0" xfId="0">
      <alignment horizontal="left"/>
    </xf>
    <xf numFmtId="0" fontId="0" fillId="0" borderId="4" pivotButton="0" quotePrefix="0" xfId="0"/>
    <xf numFmtId="0" fontId="0" fillId="0" borderId="5" pivotButton="0" quotePrefix="0" xfId="0"/>
    <xf numFmtId="165" fontId="7" fillId="2" borderId="1" applyAlignment="1" pivotButton="0" quotePrefix="0" xfId="0">
      <alignment horizontal="center"/>
    </xf>
    <xf numFmtId="166" fontId="7" fillId="2" borderId="1" applyAlignment="1" pivotButton="0" quotePrefix="0" xfId="0">
      <alignment horizontal="center"/>
    </xf>
    <xf numFmtId="1" fontId="10" fillId="0" borderId="1" applyAlignment="1" pivotButton="0" quotePrefix="0" xfId="0">
      <alignment horizontal="center"/>
    </xf>
    <xf numFmtId="0" fontId="4" fillId="0" borderId="1" pivotButton="0" quotePrefix="0" xfId="0"/>
    <xf numFmtId="166" fontId="10" fillId="0" borderId="1" applyAlignment="1" pivotButton="0" quotePrefix="0" xfId="0">
      <alignment horizontal="center"/>
    </xf>
    <xf numFmtId="166" fontId="8" fillId="4" borderId="1" applyAlignment="1" pivotButton="0" quotePrefix="0" xfId="0">
      <alignment horizontal="center"/>
    </xf>
    <xf numFmtId="3" fontId="8" fillId="4" borderId="1" applyAlignment="1" pivotButton="0" quotePrefix="0" xfId="0">
      <alignment horizontal="center"/>
    </xf>
    <xf numFmtId="3" fontId="7" fillId="2" borderId="1" applyAlignment="1" pivotButton="0" quotePrefix="0" xfId="0">
      <alignment horizontal="center"/>
    </xf>
    <xf numFmtId="2" fontId="7" fillId="2" borderId="1" applyAlignment="1" pivotButton="0" quotePrefix="0" xfId="0">
      <alignment horizontal="center"/>
    </xf>
    <xf numFmtId="3" fontId="10" fillId="0" borderId="1" applyAlignment="1" pivotButton="0" quotePrefix="0" xfId="0">
      <alignment horizontal="center"/>
    </xf>
    <xf numFmtId="0" fontId="9" fillId="0" borderId="0" applyAlignment="1" pivotButton="0" quotePrefix="0" xfId="0">
      <alignment wrapText="1"/>
    </xf>
    <xf numFmtId="165" fontId="8" fillId="4" borderId="1" applyAlignment="1" pivotButton="0" quotePrefix="0" xfId="0">
      <alignment horizontal="center"/>
    </xf>
    <xf numFmtId="0" fontId="10" fillId="0" borderId="1" pivotButton="0" quotePrefix="0" xfId="0"/>
    <xf numFmtId="165" fontId="10" fillId="0" borderId="1" applyAlignment="1" pivotButton="0" quotePrefix="0" xfId="0">
      <alignment horizontal="center"/>
    </xf>
    <xf numFmtId="2" fontId="8" fillId="4" borderId="1" applyAlignment="1" pivotButton="0" quotePrefix="0" xfId="0">
      <alignment horizontal="center"/>
    </xf>
    <xf numFmtId="167" fontId="8" fillId="4" borderId="1" applyAlignment="1" pivotButton="0" quotePrefix="0" xfId="0">
      <alignment horizontal="center"/>
    </xf>
    <xf numFmtId="0" fontId="8" fillId="4" borderId="1" applyAlignment="1" pivotButton="0" quotePrefix="0" xfId="0">
      <alignment horizontal="left"/>
    </xf>
    <xf numFmtId="167" fontId="10" fillId="0" borderId="1" applyAlignment="1" pivotButton="0" quotePrefix="0" xfId="0">
      <alignment horizontal="center"/>
    </xf>
    <xf numFmtId="167" fontId="10" fillId="0" borderId="0" pivotButton="0" quotePrefix="0" xfId="0"/>
    <xf numFmtId="0" fontId="4" fillId="3" borderId="1" pivotButton="0" quotePrefix="0" xfId="0"/>
    <xf numFmtId="165" fontId="4" fillId="3" borderId="1" applyAlignment="1" pivotButton="0" quotePrefix="0" xfId="0">
      <alignment horizontal="center"/>
    </xf>
    <xf numFmtId="165" fontId="7" fillId="3" borderId="1" applyAlignment="1" pivotButton="0" quotePrefix="0" xfId="0">
      <alignment horizontal="center"/>
    </xf>
    <xf numFmtId="0" fontId="12" fillId="6" borderId="1" applyAlignment="1" pivotButton="0" quotePrefix="0" xfId="0">
      <alignment horizontal="center"/>
    </xf>
    <xf numFmtId="166" fontId="13" fillId="6" borderId="1" applyAlignment="1" pivotButton="0" quotePrefix="0" xfId="0">
      <alignment horizontal="center"/>
    </xf>
    <xf numFmtId="165" fontId="13" fillId="6" borderId="1" applyAlignment="1" pivotButton="0" quotePrefix="0" xfId="0">
      <alignment horizontal="center"/>
    </xf>
    <xf numFmtId="167" fontId="13" fillId="6" borderId="1" applyAlignment="1" pivotButton="0" quotePrefix="0" xfId="0">
      <alignment horizontal="center"/>
    </xf>
    <xf numFmtId="2" fontId="13" fillId="6" borderId="1" applyAlignment="1" pivotButton="0" quotePrefix="0" xfId="0">
      <alignment horizontal="center"/>
    </xf>
    <xf numFmtId="0" fontId="13" fillId="4" borderId="1" pivotButton="0" quotePrefix="0" xfId="0"/>
    <xf numFmtId="49" fontId="10" fillId="0" borderId="1" applyAlignment="1" pivotButton="0" quotePrefix="0" xfId="0">
      <alignment horizontal="center"/>
    </xf>
    <xf numFmtId="2" fontId="10" fillId="0" borderId="1" applyAlignment="1" pivotButton="0" quotePrefix="0" xfId="0">
      <alignment horizontal="center"/>
    </xf>
    <xf numFmtId="0" fontId="3" fillId="0" borderId="0" applyAlignment="1" pivotButton="0" quotePrefix="0" xfId="0">
      <alignment wrapText="1"/>
    </xf>
    <xf numFmtId="0" fontId="11" fillId="5" borderId="1" pivotButton="0" quotePrefix="0" xfId="0"/>
    <xf numFmtId="0" fontId="0" fillId="0" borderId="1" applyAlignment="1" pivotButton="0" quotePrefix="0" xfId="0">
      <alignment vertical="center" wrapText="1"/>
    </xf>
  </cellXfs>
  <cellStyles count="1">
    <cellStyle name="Normal" xfId="0" builtinId="0" hidden="0"/>
  </cellStyles>
  <dxfs count="3">
    <dxf>
      <fill>
        <patternFill patternType="solid">
          <fgColor rgb="00F8CBAD"/>
        </patternFill>
      </fill>
    </dxf>
    <dxf>
      <fill>
        <patternFill patternType="solid">
          <fgColor rgb="00C6EFCE"/>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Annual unlevered FCF ($000s)</a:t>
            </a:r>
          </a:p>
        </rich>
      </tx>
    </title>
    <plotArea>
      <barChart>
        <barDir val="col"/>
        <grouping val="clustered"/>
        <ser>
          <idx val="0"/>
          <order val="0"/>
          <spPr>
            <a:ln>
              <a:prstDash val="solid"/>
            </a:ln>
          </spPr>
          <cat>
            <numRef>
              <f>'03_Returns'!$C$22:$K$22</f>
            </numRef>
          </cat>
          <val>
            <numRef>
              <f>'03_Returns'!$C$24:$K$24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$000s</a:t>
                </a:r>
              </a:p>
            </rich>
          </tx>
        </title>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Cumulative unlevered FCF ($000s)</a:t>
            </a:r>
          </a:p>
        </rich>
      </tx>
    </title>
    <plotArea>
      <lineChart>
        <grouping val="standard"/>
        <ser>
          <idx val="0"/>
          <order val="0"/>
          <spPr>
            <a:ln>
              <a:prstDash val="solid"/>
            </a:ln>
          </spPr>
          <marker>
            <symbol val="none"/>
            <spPr>
              <a:ln>
                <a:prstDash val="solid"/>
              </a:ln>
            </spPr>
          </marker>
          <cat>
            <numRef>
              <f>'03_Returns'!$C$22:$K$22</f>
            </numRef>
          </cat>
          <val>
            <numRef>
              <f>'03_Returns'!$C$25:$K$25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$000s</a:t>
                </a:r>
              </a:p>
            </rich>
          </tx>
        </title>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Annual unlevered FCF ($000s)</a:t>
            </a:r>
          </a:p>
        </rich>
      </tx>
    </title>
    <plotArea>
      <barChart>
        <barDir val="col"/>
        <grouping val="clustered"/>
        <ser>
          <idx val="0"/>
          <order val="0"/>
          <spPr>
            <a:ln>
              <a:prstDash val="solid"/>
            </a:ln>
          </spPr>
          <cat>
            <numRef>
              <f>'05_One_Pager'!$C$30:$K$30</f>
            </numRef>
          </cat>
          <val>
            <numRef>
              <f>'05_One_Pager'!$C$31:$K$31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$000s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49</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65</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33</row>
      <rowOff>0</rowOff>
    </from>
    <ext cx="540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F4E79"/>
    <outlinePr summaryBelow="1" summaryRight="1"/>
    <pageSetUpPr fitToPage="1"/>
  </sheetPr>
  <dimension ref="B2:B23"/>
  <sheetViews>
    <sheetView showGridLines="0" workbookViewId="0">
      <selection activeCell="A1" sqref="A1"/>
    </sheetView>
  </sheetViews>
  <sheetFormatPr baseColWidth="8" defaultRowHeight="15"/>
  <cols>
    <col width="4" customWidth="1" min="1" max="1"/>
    <col width="96" customWidth="1" min="2" max="2"/>
  </cols>
  <sheetData>
    <row r="2">
      <c r="B2" s="1" t="inlineStr">
        <is>
          <t>Northline Consumer Products</t>
        </is>
      </c>
    </row>
    <row r="3">
      <c r="B3" s="2" t="inlineStr">
        <is>
          <t>Capex investment case  ·  Plant 2 RTD Line 4  ·  NPV, IRR, payback</t>
        </is>
      </c>
    </row>
    <row r="4">
      <c r="B4" s="3" t="inlineStr">
        <is>
          <t>FY2026–2034  ·  unlevered project cash flows  ·  fictional CPG company  ·  $000s</t>
        </is>
      </c>
    </row>
    <row r="6">
      <c r="B6" s="4" t="inlineStr">
        <is>
          <t>What this file is</t>
        </is>
      </c>
    </row>
    <row r="7" ht="72" customHeight="1">
      <c r="B7" s="5" t="inlineStr">
        <is>
          <t>An investment-committee pack for a fictional high-speed RTD filling line at Plant 2. Capex is timed over two years. Benefits are incremental volume × contribution per case plus run-rate cost savings (labor, scrap, energy, avoided maintenance on the old line). Cash flows are unlevered: NOPAT + D&amp;A − capex − ΔNWC + after-tax salvage. Returns (NPV, IRR, payback, PI) and a WACC × volume sensitivity sit on formulas. A Base / Upside / Downside toggle scales capex, volume, savings, and contribution.</t>
        </is>
      </c>
    </row>
    <row r="9">
      <c r="B9" s="4" t="inlineStr">
        <is>
          <t>How to use</t>
        </is>
      </c>
    </row>
    <row r="10">
      <c r="B10" t="inlineStr">
        <is>
          <t>1. Edit yellow cells on 01_Assumptions (scenario, WACC, tax, life, capex timing, volume ramp, unit economics, savings).</t>
        </is>
      </c>
    </row>
    <row r="11">
      <c r="B11" t="inlineStr">
        <is>
          <t>2. Read the unlevered cash-flow build on 02_Cash_Flows (all formulas from Assumptions).</t>
        </is>
      </c>
    </row>
    <row r="12">
      <c r="B12" t="inlineStr">
        <is>
          <t>3. Read NPV, IRR, payback, and PI on 03_Returns.</t>
        </is>
      </c>
    </row>
    <row r="13">
      <c r="B13" t="inlineStr">
        <is>
          <t>4. Stress WACC and volume on 04_Sensitivity (one-way, two-way, tornado).</t>
        </is>
      </c>
    </row>
    <row r="14">
      <c r="B14" t="inlineStr">
        <is>
          <t>5. Use 05_One_Pager as the investment-committee snapshot.</t>
        </is>
      </c>
    </row>
    <row r="16">
      <c r="B16" s="4" t="inlineStr">
        <is>
          <t>File conventions</t>
        </is>
      </c>
    </row>
    <row r="17">
      <c r="B17" s="6" t="inlineStr">
        <is>
          <t>Yellow cells with blue font = inputs. Black font = formulas. Green cells = key outputs.</t>
        </is>
      </c>
    </row>
    <row r="18">
      <c r="B18" t="inlineStr">
        <is>
          <t>Discounting is year-end. D&amp;A is straight-line on (gross capex − salvage) over project life, starting Year 1 (COD).</t>
        </is>
      </c>
    </row>
    <row r="19">
      <c r="B19" t="inlineStr">
        <is>
          <t>All figures are fictional. There is no employer data in this file. Dollar figures in $000s. Volume in 000 cases.</t>
        </is>
      </c>
    </row>
    <row r="21">
      <c r="B21" s="4" t="inlineStr">
        <is>
          <t>Portfolio</t>
        </is>
      </c>
    </row>
    <row r="22">
      <c r="B22" t="inlineStr">
        <is>
          <t>Sai Siri Bandaru — Financial Analyst | FP&amp;A | forecasting, variance analysis, Excel</t>
        </is>
      </c>
    </row>
    <row r="23">
      <c r="B23" s="7" t="inlineStr">
        <is>
          <t>https://github.com/saisiri-bandaru</t>
        </is>
      </c>
    </row>
  </sheetData>
  <pageMargins left="0.75" right="0.75" top="1" bottom="1" header="0.5" footer="0.5"/>
  <pageSetup orientation="landscape" paperSize="3" fitToHeight="1" fitToWidth="1"/>
  <headerFooter>
    <oddHeader/>
    <oddFooter>&amp;LNorthline Consumer Products  |  fictional sample  |  $000s&amp;RPage &amp;P of &amp;N</oddFooter>
    <evenHeader/>
    <evenFooter/>
    <firstHeader/>
    <firstFooter/>
  </headerFooter>
</worksheet>
</file>

<file path=xl/worksheets/sheet2.xml><?xml version="1.0" encoding="utf-8"?>
<worksheet xmlns="http://schemas.openxmlformats.org/spreadsheetml/2006/main">
  <sheetPr>
    <tabColor rgb="00F7C948"/>
    <outlinePr summaryBelow="1" summaryRight="1"/>
    <pageSetUpPr fitToPage="1"/>
  </sheetPr>
  <dimension ref="B2:K6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8" customWidth="1" min="12" max="12"/>
  </cols>
  <sheetData>
    <row r="2">
      <c r="B2" s="1" t="inlineStr">
        <is>
          <t>Assumptions</t>
        </is>
      </c>
    </row>
    <row r="3">
      <c r="B3" s="3" t="inlineStr">
        <is>
          <t>Yellow + blue = inputs. Scenario, WACC, capex timing, volume ramp, and unit economics drive every other tab.</t>
        </is>
      </c>
    </row>
    <row r="5">
      <c r="B5" s="8" t="inlineStr">
        <is>
          <t>Control panel</t>
        </is>
      </c>
      <c r="C5" s="9" t="n"/>
      <c r="D5" s="9" t="n"/>
      <c r="E5" s="9" t="n"/>
      <c r="F5" s="9" t="n"/>
    </row>
    <row r="6">
      <c r="B6" t="inlineStr">
        <is>
          <t>Scenario (1 = Base, 2 = Upside, 3 = Downside)</t>
        </is>
      </c>
      <c r="C6" s="10" t="n">
        <v>1</v>
      </c>
      <c r="D6" s="11">
        <f>INDEX({"Base","Upside","Downside"},1,C6)</f>
        <v/>
      </c>
      <c r="E6" s="12" t="inlineStr">
        <is>
          <t>Scales capex, volume, savings, and contribution $/case.</t>
        </is>
      </c>
    </row>
    <row r="7">
      <c r="B7" t="inlineStr">
        <is>
          <t>Capex factor</t>
        </is>
      </c>
      <c r="C7" s="13">
        <f>INDEX($D$15:$D$17,$C$6)</f>
        <v/>
      </c>
    </row>
    <row r="8">
      <c r="B8" t="inlineStr">
        <is>
          <t>Volume factor</t>
        </is>
      </c>
      <c r="C8" s="13">
        <f>INDEX($E$15:$E$17,$C$6)</f>
        <v/>
      </c>
    </row>
    <row r="9">
      <c r="B9" t="inlineStr">
        <is>
          <t>Savings factor</t>
        </is>
      </c>
      <c r="C9" s="13">
        <f>INDEX($F$15:$F$17,$C$6)</f>
        <v/>
      </c>
    </row>
    <row r="10">
      <c r="B10" t="inlineStr">
        <is>
          <t>Contribution factor (on $/case)</t>
        </is>
      </c>
      <c r="C10" s="13">
        <f>INDEX($G$15:$G$17,$C$6)</f>
        <v/>
      </c>
    </row>
    <row r="12">
      <c r="B12" s="8" t="inlineStr">
        <is>
          <t>Scenario table (inputs)</t>
        </is>
      </c>
      <c r="C12" s="9" t="n"/>
      <c r="D12" s="9" t="n"/>
      <c r="E12" s="9" t="n"/>
      <c r="F12" s="9" t="n"/>
      <c r="G12" s="9" t="n"/>
      <c r="H12" s="9" t="n"/>
    </row>
    <row r="13">
      <c r="B13" s="14" t="inlineStr">
        <is>
          <t>#</t>
        </is>
      </c>
      <c r="C13" s="14" t="inlineStr">
        <is>
          <t>Name</t>
        </is>
      </c>
      <c r="D13" s="14" t="inlineStr">
        <is>
          <t>Capex</t>
        </is>
      </c>
      <c r="E13" s="14" t="inlineStr">
        <is>
          <t>Volume</t>
        </is>
      </c>
      <c r="F13" s="14" t="inlineStr">
        <is>
          <t>Savings</t>
        </is>
      </c>
      <c r="G13" s="14" t="inlineStr">
        <is>
          <t>Contrib $/case</t>
        </is>
      </c>
    </row>
    <row r="15">
      <c r="B15" s="15" t="n">
        <v>1</v>
      </c>
      <c r="C15" s="15" t="inlineStr">
        <is>
          <t>Base</t>
        </is>
      </c>
      <c r="D15" s="16" t="n">
        <v>1</v>
      </c>
      <c r="E15" s="16" t="n">
        <v>1</v>
      </c>
      <c r="F15" s="16" t="n">
        <v>1</v>
      </c>
      <c r="G15" s="16" t="n">
        <v>1</v>
      </c>
    </row>
    <row r="16">
      <c r="B16" s="15" t="n">
        <v>2</v>
      </c>
      <c r="C16" s="15" t="inlineStr">
        <is>
          <t>Upside</t>
        </is>
      </c>
      <c r="D16" s="16" t="n">
        <v>0.95</v>
      </c>
      <c r="E16" s="16" t="n">
        <v>1.12</v>
      </c>
      <c r="F16" s="16" t="n">
        <v>1.08</v>
      </c>
      <c r="G16" s="16" t="n">
        <v>1.03</v>
      </c>
    </row>
    <row r="17">
      <c r="B17" s="15" t="n">
        <v>3</v>
      </c>
      <c r="C17" s="15" t="inlineStr">
        <is>
          <t>Downside</t>
        </is>
      </c>
      <c r="D17" s="16" t="n">
        <v>1.12</v>
      </c>
      <c r="E17" s="16" t="n">
        <v>0.85</v>
      </c>
      <c r="F17" s="16" t="n">
        <v>0.9</v>
      </c>
      <c r="G17" s="16" t="n">
        <v>0.97</v>
      </c>
    </row>
    <row r="19">
      <c r="B19" s="8" t="inlineStr">
        <is>
          <t>Project</t>
        </is>
      </c>
      <c r="C19" s="9" t="n"/>
      <c r="D19" s="9" t="n"/>
    </row>
    <row r="20">
      <c r="B20" t="inlineStr">
        <is>
          <t>Project name</t>
        </is>
      </c>
      <c r="C20" s="17" t="inlineStr">
        <is>
          <t>Plant 2 — RTD Line 4 (high-speed filling)</t>
        </is>
      </c>
      <c r="D20" s="18" t="n"/>
      <c r="E20" s="18" t="n"/>
      <c r="F20" s="18" t="n"/>
      <c r="G20" s="19" t="n"/>
    </row>
    <row r="21">
      <c r="B21" t="inlineStr">
        <is>
          <t>Sponsor / site</t>
        </is>
      </c>
      <c r="C21" s="17" t="inlineStr">
        <is>
          <t>Operations / Supply Chain  ·  Midwest Plant 2</t>
        </is>
      </c>
      <c r="D21" s="18" t="n"/>
      <c r="E21" s="18" t="n"/>
      <c r="F21" s="18" t="n"/>
      <c r="G21" s="19" t="n"/>
    </row>
    <row r="22">
      <c r="B22" t="inlineStr">
        <is>
          <t>In-service (COD) year</t>
        </is>
      </c>
      <c r="C22" s="10" t="n">
        <v>2027</v>
      </c>
    </row>
    <row r="24">
      <c r="B24" s="8" t="inlineStr">
        <is>
          <t>Returns, tax, NWC, salvage</t>
        </is>
      </c>
      <c r="C24" s="9" t="n"/>
      <c r="D24" s="9" t="n"/>
      <c r="E24" s="9" t="n"/>
    </row>
    <row r="25">
      <c r="B25" t="inlineStr">
        <is>
          <t>WACC</t>
        </is>
      </c>
      <c r="C25" s="20" t="n">
        <v>0.095</v>
      </c>
      <c r="D25" s="12" t="inlineStr">
        <is>
          <t>Unlevered project hurdle. Sample 9.5%.</t>
        </is>
      </c>
    </row>
    <row r="26">
      <c r="B26" t="inlineStr">
        <is>
          <t>Tax rate</t>
        </is>
      </c>
      <c r="C26" s="20" t="n">
        <v>0.25</v>
      </c>
    </row>
    <row r="27">
      <c r="B27" t="inlineStr">
        <is>
          <t>Project life (years)</t>
        </is>
      </c>
      <c r="C27" s="10" t="n">
        <v>8</v>
      </c>
      <c r="D27" s="12" t="inlineStr">
        <is>
          <t>D&amp;A and operating life from COD (t = 1..life). Sample through 2034.</t>
        </is>
      </c>
    </row>
    <row r="28">
      <c r="B28" t="inlineStr">
        <is>
          <t>Salvage % of gross capex</t>
        </is>
      </c>
      <c r="C28" s="20" t="n">
        <v>0.08</v>
      </c>
    </row>
    <row r="29">
      <c r="B29" t="inlineStr">
        <is>
          <t>NWC % of incremental revenue</t>
        </is>
      </c>
      <c r="C29" s="20" t="n">
        <v>0.065</v>
      </c>
    </row>
    <row r="30">
      <c r="B30" t="inlineStr">
        <is>
          <t>Incremental G&amp;A ($000s / year from COD)</t>
        </is>
      </c>
      <c r="C30" s="21" t="n">
        <v>80</v>
      </c>
    </row>
    <row r="32">
      <c r="B32" s="8" t="inlineStr">
        <is>
          <t>Year-by-year drivers</t>
        </is>
      </c>
      <c r="C32" s="9" t="n"/>
      <c r="D32" s="9" t="n"/>
      <c r="E32" s="9" t="n"/>
      <c r="F32" s="9" t="n"/>
      <c r="G32" s="9" t="n"/>
      <c r="H32" s="9" t="n"/>
      <c r="I32" s="9" t="n"/>
      <c r="J32" s="9" t="n"/>
      <c r="K32" s="9" t="n"/>
    </row>
    <row r="33">
      <c r="B33" s="14" t="inlineStr">
        <is>
          <t>Driver</t>
        </is>
      </c>
      <c r="C33" s="14" t="inlineStr">
        <is>
          <t>2026</t>
        </is>
      </c>
      <c r="D33" s="14" t="inlineStr">
        <is>
          <t>2027</t>
        </is>
      </c>
      <c r="E33" s="14" t="inlineStr">
        <is>
          <t>2028</t>
        </is>
      </c>
      <c r="F33" s="14" t="inlineStr">
        <is>
          <t>2029</t>
        </is>
      </c>
      <c r="G33" s="14" t="inlineStr">
        <is>
          <t>2030</t>
        </is>
      </c>
      <c r="H33" s="14" t="inlineStr">
        <is>
          <t>2031</t>
        </is>
      </c>
      <c r="I33" s="14" t="inlineStr">
        <is>
          <t>2032</t>
        </is>
      </c>
      <c r="J33" s="14" t="inlineStr">
        <is>
          <t>2033</t>
        </is>
      </c>
      <c r="K33" s="14" t="inlineStr">
        <is>
          <t>2034</t>
        </is>
      </c>
    </row>
    <row r="34">
      <c r="B34" s="15" t="inlineStr">
        <is>
          <t>Time index t</t>
        </is>
      </c>
      <c r="C34" s="22" t="n">
        <v>0</v>
      </c>
      <c r="D34" s="22" t="n">
        <v>1</v>
      </c>
      <c r="E34" s="22" t="n">
        <v>2</v>
      </c>
      <c r="F34" s="22" t="n">
        <v>3</v>
      </c>
      <c r="G34" s="22" t="n">
        <v>4</v>
      </c>
      <c r="H34" s="22" t="n">
        <v>5</v>
      </c>
      <c r="I34" s="22" t="n">
        <v>6</v>
      </c>
      <c r="J34" s="22" t="n">
        <v>7</v>
      </c>
      <c r="K34" s="22" t="n">
        <v>8</v>
      </c>
    </row>
    <row r="35">
      <c r="B35" s="15" t="inlineStr">
        <is>
          <t>Volume ramp (% of run-rate)</t>
        </is>
      </c>
      <c r="C35" s="20" t="n">
        <v>0</v>
      </c>
      <c r="D35" s="20" t="n">
        <v>0.42</v>
      </c>
      <c r="E35" s="20" t="n">
        <v>0.85</v>
      </c>
      <c r="F35" s="20" t="n">
        <v>1</v>
      </c>
      <c r="G35" s="20" t="n">
        <v>1</v>
      </c>
      <c r="H35" s="20" t="n">
        <v>1</v>
      </c>
      <c r="I35" s="20" t="n">
        <v>1</v>
      </c>
      <c r="J35" s="20" t="n">
        <v>1</v>
      </c>
      <c r="K35" s="20" t="n">
        <v>1</v>
      </c>
    </row>
    <row r="36">
      <c r="B36" s="15" t="inlineStr">
        <is>
          <t>Savings ramp (% of run-rate)</t>
        </is>
      </c>
      <c r="C36" s="20" t="n">
        <v>0</v>
      </c>
      <c r="D36" s="20" t="n">
        <v>0.5</v>
      </c>
      <c r="E36" s="20" t="n">
        <v>0.9</v>
      </c>
      <c r="F36" s="20" t="n">
        <v>1</v>
      </c>
      <c r="G36" s="20" t="n">
        <v>1</v>
      </c>
      <c r="H36" s="20" t="n">
        <v>1</v>
      </c>
      <c r="I36" s="20" t="n">
        <v>1</v>
      </c>
      <c r="J36" s="20" t="n">
        <v>1</v>
      </c>
      <c r="K36" s="20" t="n">
        <v>1</v>
      </c>
    </row>
    <row r="37">
      <c r="B37" s="15" t="inlineStr">
        <is>
          <t>Equipment &amp; long-lead ($000s)</t>
        </is>
      </c>
      <c r="C37" s="21" t="n">
        <v>11800</v>
      </c>
      <c r="D37" s="21" t="n">
        <v>2200</v>
      </c>
      <c r="E37" s="21" t="n">
        <v>0</v>
      </c>
      <c r="F37" s="21" t="n">
        <v>0</v>
      </c>
      <c r="G37" s="21" t="n">
        <v>0</v>
      </c>
      <c r="H37" s="21" t="n">
        <v>0</v>
      </c>
      <c r="I37" s="21" t="n">
        <v>0</v>
      </c>
      <c r="J37" s="21" t="n">
        <v>0</v>
      </c>
      <c r="K37" s="21" t="n">
        <v>0</v>
      </c>
    </row>
    <row r="38">
      <c r="B38" s="15" t="inlineStr">
        <is>
          <t>Installation / commissioning ($000s)</t>
        </is>
      </c>
      <c r="C38" s="21" t="n">
        <v>2800</v>
      </c>
      <c r="D38" s="21" t="n">
        <v>2800</v>
      </c>
      <c r="E38" s="21" t="n">
        <v>0</v>
      </c>
      <c r="F38" s="21" t="n">
        <v>0</v>
      </c>
      <c r="G38" s="21" t="n">
        <v>0</v>
      </c>
      <c r="H38" s="21" t="n">
        <v>0</v>
      </c>
      <c r="I38" s="21" t="n">
        <v>0</v>
      </c>
      <c r="J38" s="21" t="n">
        <v>0</v>
      </c>
      <c r="K38" s="21" t="n">
        <v>0</v>
      </c>
    </row>
    <row r="39">
      <c r="B39" s="15" t="inlineStr">
        <is>
          <t>Spares / startup ($000s)</t>
        </is>
      </c>
      <c r="C39" s="21" t="n">
        <v>1600</v>
      </c>
      <c r="D39" s="21" t="n">
        <v>800</v>
      </c>
      <c r="E39" s="21" t="n">
        <v>0</v>
      </c>
      <c r="F39" s="21" t="n">
        <v>0</v>
      </c>
      <c r="G39" s="21" t="n">
        <v>0</v>
      </c>
      <c r="H39" s="21" t="n">
        <v>0</v>
      </c>
      <c r="I39" s="21" t="n">
        <v>0</v>
      </c>
      <c r="J39" s="21" t="n">
        <v>0</v>
      </c>
      <c r="K39" s="21" t="n">
        <v>0</v>
      </c>
    </row>
    <row r="40">
      <c r="B40" s="23" t="inlineStr">
        <is>
          <t>Gross capex (pre-factor)</t>
        </is>
      </c>
      <c r="C40" s="24">
        <f>C37+C38+C39</f>
        <v/>
      </c>
      <c r="D40" s="24">
        <f>D37+D38+D39</f>
        <v/>
      </c>
      <c r="E40" s="24">
        <f>E37+E38+E39</f>
        <v/>
      </c>
      <c r="F40" s="24">
        <f>F37+F38+F39</f>
        <v/>
      </c>
      <c r="G40" s="24">
        <f>G37+G38+G39</f>
        <v/>
      </c>
      <c r="H40" s="24">
        <f>H37+H38+H39</f>
        <v/>
      </c>
      <c r="I40" s="24">
        <f>I37+I38+I39</f>
        <v/>
      </c>
      <c r="J40" s="24">
        <f>J37+J38+J39</f>
        <v/>
      </c>
      <c r="K40" s="24">
        <f>K37+K38+K39</f>
        <v/>
      </c>
    </row>
    <row r="41">
      <c r="B41" s="23" t="inlineStr">
        <is>
          <t>Gross capex × scenario</t>
        </is>
      </c>
      <c r="C41" s="25">
        <f>C40*$C$7</f>
        <v/>
      </c>
      <c r="D41" s="25">
        <f>D40*$C$7</f>
        <v/>
      </c>
      <c r="E41" s="25">
        <f>E40*$C$7</f>
        <v/>
      </c>
      <c r="F41" s="25">
        <f>F40*$C$7</f>
        <v/>
      </c>
      <c r="G41" s="25">
        <f>G40*$C$7</f>
        <v/>
      </c>
      <c r="H41" s="25">
        <f>H40*$C$7</f>
        <v/>
      </c>
      <c r="I41" s="25">
        <f>I40*$C$7</f>
        <v/>
      </c>
      <c r="J41" s="25">
        <f>J40*$C$7</f>
        <v/>
      </c>
      <c r="K41" s="25">
        <f>K40*$C$7</f>
        <v/>
      </c>
    </row>
    <row r="42">
      <c r="B42" s="15" t="inlineStr">
        <is>
          <t>Maintenance capex ($000s)</t>
        </is>
      </c>
      <c r="C42" s="21" t="n">
        <v>0</v>
      </c>
      <c r="D42" s="21" t="n">
        <v>0</v>
      </c>
      <c r="E42" s="21" t="n">
        <v>180</v>
      </c>
      <c r="F42" s="21" t="n">
        <v>180</v>
      </c>
      <c r="G42" s="21" t="n">
        <v>190</v>
      </c>
      <c r="H42" s="21" t="n">
        <v>190</v>
      </c>
      <c r="I42" s="21" t="n">
        <v>200</v>
      </c>
      <c r="J42" s="21" t="n">
        <v>200</v>
      </c>
      <c r="K42" s="21" t="n">
        <v>210</v>
      </c>
    </row>
    <row r="43">
      <c r="B43" s="23" t="inlineStr">
        <is>
          <t>Volume (000 cases)</t>
        </is>
      </c>
      <c r="C43" s="26">
        <f>$C$47*C35*$C$8</f>
        <v/>
      </c>
      <c r="D43" s="26">
        <f>$C$47*D35*$C$8</f>
        <v/>
      </c>
      <c r="E43" s="26">
        <f>$C$47*E35*$C$8</f>
        <v/>
      </c>
      <c r="F43" s="26">
        <f>$C$47*F35*$C$8</f>
        <v/>
      </c>
      <c r="G43" s="26">
        <f>$C$47*G35*$C$8</f>
        <v/>
      </c>
      <c r="H43" s="26">
        <f>$C$47*H35*$C$8</f>
        <v/>
      </c>
      <c r="I43" s="26">
        <f>$C$47*I35*$C$8</f>
        <v/>
      </c>
      <c r="J43" s="26">
        <f>$C$47*J35*$C$8</f>
        <v/>
      </c>
      <c r="K43" s="26">
        <f>$C$47*K35*$C$8</f>
        <v/>
      </c>
    </row>
    <row r="44">
      <c r="B44" s="15" t="inlineStr">
        <is>
          <t>Incremental G&amp;A ($000s)</t>
        </is>
      </c>
      <c r="C44" s="24">
        <f>IF(C34&gt;=1,$C$30,0)</f>
        <v/>
      </c>
      <c r="D44" s="24">
        <f>IF(D34&gt;=1,$C$30,0)</f>
        <v/>
      </c>
      <c r="E44" s="24">
        <f>IF(E34&gt;=1,$C$30,0)</f>
        <v/>
      </c>
      <c r="F44" s="24">
        <f>IF(F34&gt;=1,$C$30,0)</f>
        <v/>
      </c>
      <c r="G44" s="24">
        <f>IF(G34&gt;=1,$C$30,0)</f>
        <v/>
      </c>
      <c r="H44" s="24">
        <f>IF(H34&gt;=1,$C$30,0)</f>
        <v/>
      </c>
      <c r="I44" s="24">
        <f>IF(I34&gt;=1,$C$30,0)</f>
        <v/>
      </c>
      <c r="J44" s="24">
        <f>IF(J34&gt;=1,$C$30,0)</f>
        <v/>
      </c>
      <c r="K44" s="24">
        <f>IF(K34&gt;=1,$C$30,0)</f>
        <v/>
      </c>
    </row>
    <row r="46">
      <c r="B46" s="8" t="inlineStr">
        <is>
          <t>Unit economics and run-rate savings</t>
        </is>
      </c>
      <c r="C46" s="9" t="n"/>
      <c r="D46" s="9" t="n"/>
      <c r="E46" s="9" t="n"/>
    </row>
    <row r="47">
      <c r="B47" t="inlineStr">
        <is>
          <t>Run-rate volume lift (000 cases / year)</t>
        </is>
      </c>
      <c r="C47" s="27" t="n">
        <v>1500</v>
      </c>
      <c r="D47" s="12" t="inlineStr">
        <is>
          <t>Incremental cases vs doing nothing. Sample ~Line 4 nameplate after ramp.</t>
        </is>
      </c>
    </row>
    <row r="48">
      <c r="B48" t="inlineStr">
        <is>
          <t>Incremental net ASP ($ / case)</t>
        </is>
      </c>
      <c r="C48" s="28" t="n">
        <v>11.75</v>
      </c>
    </row>
    <row r="49">
      <c r="B49" t="inlineStr">
        <is>
          <t>Incremental contribution ($ / case)</t>
        </is>
      </c>
      <c r="C49" s="28" t="n">
        <v>3.2</v>
      </c>
      <c r="D49" s="12" t="inlineStr">
        <is>
          <t>Net price − variable COGS on the incremental volume. Then × contribution factor.</t>
        </is>
      </c>
    </row>
    <row r="50">
      <c r="B50" t="inlineStr">
        <is>
          <t>Incremental distribution ($ / case)</t>
        </is>
      </c>
      <c r="C50" s="28" t="n">
        <v>0.42</v>
      </c>
    </row>
    <row r="52">
      <c r="B52" t="inlineStr">
        <is>
          <t>Direct labor savings — run-rate ($000s)</t>
        </is>
      </c>
      <c r="C52" s="21" t="n">
        <v>2500</v>
      </c>
    </row>
    <row r="53">
      <c r="B53" t="inlineStr">
        <is>
          <t>Scrap / giveaway savings — run-rate ($000s)</t>
        </is>
      </c>
      <c r="C53" s="21" t="n">
        <v>800</v>
      </c>
    </row>
    <row r="54">
      <c r="B54" t="inlineStr">
        <is>
          <t>Energy savings — run-rate ($000s)</t>
        </is>
      </c>
      <c r="C54" s="21" t="n">
        <v>400</v>
      </c>
    </row>
    <row r="55">
      <c r="B55" t="inlineStr">
        <is>
          <t>Avoided old-line maintenance — run-rate ($000s)</t>
        </is>
      </c>
      <c r="C55" s="21" t="n">
        <v>250</v>
      </c>
    </row>
    <row r="56">
      <c r="B56" t="inlineStr">
        <is>
          <t>Total run-rate savings ($000s)</t>
        </is>
      </c>
      <c r="C56" s="25">
        <f>SUM(C52:C55)</f>
        <v/>
      </c>
      <c r="D56" s="12" t="inlineStr">
        <is>
          <t>Applied × savings ramp × savings factor on the cash-flow sheet.</t>
        </is>
      </c>
    </row>
    <row r="58">
      <c r="B58" s="8" t="inlineStr">
        <is>
          <t>Depreciation (straight-line)</t>
        </is>
      </c>
      <c r="C58" s="9" t="n"/>
      <c r="D58" s="9" t="n"/>
      <c r="E58" s="9" t="n"/>
    </row>
    <row r="59">
      <c r="B59" t="inlineStr">
        <is>
          <t>Total gross capex (post-factor)</t>
        </is>
      </c>
      <c r="C59" s="25">
        <f>SUM(C41:K41)</f>
        <v/>
      </c>
    </row>
    <row r="60">
      <c r="B60" t="inlineStr">
        <is>
          <t>Salvage value (end of life)</t>
        </is>
      </c>
      <c r="C60" s="24">
        <f>C59*C28</f>
        <v/>
      </c>
    </row>
    <row r="61">
      <c r="B61" t="inlineStr">
        <is>
          <t>Depreciable basis</t>
        </is>
      </c>
      <c r="C61" s="24">
        <f>C59-C60</f>
        <v/>
      </c>
    </row>
    <row r="62">
      <c r="B62" t="inlineStr">
        <is>
          <t>Annual D&amp;A (t = 1..life)</t>
        </is>
      </c>
      <c r="C62" s="25">
        <f>IF(C27=0,0,C61/C27)</f>
        <v/>
      </c>
      <c r="D62" s="12" t="inlineStr">
        <is>
          <t>Book value at end = salvage, so the salvage cash inflow is untaxed (no gain/loss).</t>
        </is>
      </c>
    </row>
    <row r="64">
      <c r="B64" s="12" t="inlineStr">
        <is>
          <t>Units: $000s throughout unless noted. Volume in 000 cases. Prices in $ per case.</t>
        </is>
      </c>
    </row>
  </sheetData>
  <mergeCells count="2">
    <mergeCell ref="C21:G21"/>
    <mergeCell ref="C20:G20"/>
  </mergeCells>
  <dataValidations count="1">
    <dataValidation sqref="C6" showDropDown="0" showInputMessage="0" showErrorMessage="0" allowBlank="0" errorTitle="Scenario" error="Enter 1, 2, or 3" promptTitle="Scenario" prompt="1 Base / 2 Upside / 3 Downside" type="list">
      <formula1>1,2,3</formula1>
    </dataValidation>
  </dataValidations>
  <pageMargins left="0.75" right="0.75" top="1" bottom="1" header="0.5" footer="0.5"/>
  <pageSetup orientation="landscape" paperSize="3" fitToHeight="0" fitToWidth="1"/>
  <headerFooter>
    <oddHeader/>
    <oddFooter>&amp;LNorthline Consumer Products  |  fictional sample  |  $000s&amp;RPage &amp;P of &amp;N</oddFooter>
    <evenHeader/>
    <evenFooter/>
    <firstHeader/>
    <firstFooter/>
  </headerFooter>
</worksheet>
</file>

<file path=xl/worksheets/sheet3.xml><?xml version="1.0" encoding="utf-8"?>
<worksheet xmlns="http://schemas.openxmlformats.org/spreadsheetml/2006/main">
  <sheetPr>
    <tabColor rgb="002E75B6"/>
    <outlinePr summaryBelow="1" summaryRight="1"/>
    <pageSetUpPr fitToPage="1"/>
  </sheetPr>
  <dimension ref="B2:K3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6" customWidth="1" min="12" max="12"/>
  </cols>
  <sheetData>
    <row r="2">
      <c r="B2" s="1" t="inlineStr">
        <is>
          <t>Unlevered project cash flows</t>
        </is>
      </c>
    </row>
    <row r="3">
      <c r="B3" s="3" t="inlineStr">
        <is>
          <t>All rows are formulas from 01_Assumptions. FCF = NOPAT + D&amp;A − capex − maintenance − ΔNWC + salvage.</t>
        </is>
      </c>
    </row>
    <row r="5">
      <c r="B5" s="14" t="inlineStr">
        <is>
          <t>Line</t>
        </is>
      </c>
      <c r="C5" s="14" t="inlineStr">
        <is>
          <t>2026</t>
        </is>
      </c>
      <c r="D5" s="14" t="inlineStr">
        <is>
          <t>2027</t>
        </is>
      </c>
      <c r="E5" s="14" t="inlineStr">
        <is>
          <t>2028</t>
        </is>
      </c>
      <c r="F5" s="14" t="inlineStr">
        <is>
          <t>2029</t>
        </is>
      </c>
      <c r="G5" s="14" t="inlineStr">
        <is>
          <t>2030</t>
        </is>
      </c>
      <c r="H5" s="14" t="inlineStr">
        <is>
          <t>2031</t>
        </is>
      </c>
      <c r="I5" s="14" t="inlineStr">
        <is>
          <t>2032</t>
        </is>
      </c>
      <c r="J5" s="14" t="inlineStr">
        <is>
          <t>2033</t>
        </is>
      </c>
      <c r="K5" s="14" t="inlineStr">
        <is>
          <t>2034</t>
        </is>
      </c>
    </row>
    <row r="6">
      <c r="B6" s="15" t="inlineStr">
        <is>
          <t>Time index t</t>
        </is>
      </c>
      <c r="C6" s="22">
        <f>'01_Assumptions'!C34</f>
        <v/>
      </c>
      <c r="D6" s="22">
        <f>'01_Assumptions'!D34</f>
        <v/>
      </c>
      <c r="E6" s="22">
        <f>'01_Assumptions'!E34</f>
        <v/>
      </c>
      <c r="F6" s="22">
        <f>'01_Assumptions'!F34</f>
        <v/>
      </c>
      <c r="G6" s="22">
        <f>'01_Assumptions'!G34</f>
        <v/>
      </c>
      <c r="H6" s="22">
        <f>'01_Assumptions'!H34</f>
        <v/>
      </c>
      <c r="I6" s="22">
        <f>'01_Assumptions'!I34</f>
        <v/>
      </c>
      <c r="J6" s="22">
        <f>'01_Assumptions'!J34</f>
        <v/>
      </c>
      <c r="K6" s="22">
        <f>'01_Assumptions'!K34</f>
        <v/>
      </c>
    </row>
    <row r="8">
      <c r="B8" s="8" t="inlineStr">
        <is>
          <t>Operating build</t>
        </is>
      </c>
      <c r="C8" s="9" t="n"/>
      <c r="D8" s="9" t="n"/>
      <c r="E8" s="9" t="n"/>
      <c r="F8" s="9" t="n"/>
      <c r="G8" s="9" t="n"/>
      <c r="H8" s="9" t="n"/>
      <c r="I8" s="9" t="n"/>
      <c r="J8" s="9" t="n"/>
      <c r="K8" s="9" t="n"/>
    </row>
    <row r="9">
      <c r="B9" s="15" t="inlineStr">
        <is>
          <t>Volume (000 cases)</t>
        </is>
      </c>
      <c r="C9" s="29">
        <f>'01_Assumptions'!C43</f>
        <v/>
      </c>
      <c r="D9" s="29">
        <f>'01_Assumptions'!D43</f>
        <v/>
      </c>
      <c r="E9" s="29">
        <f>'01_Assumptions'!E43</f>
        <v/>
      </c>
      <c r="F9" s="29">
        <f>'01_Assumptions'!F43</f>
        <v/>
      </c>
      <c r="G9" s="29">
        <f>'01_Assumptions'!G43</f>
        <v/>
      </c>
      <c r="H9" s="29">
        <f>'01_Assumptions'!H43</f>
        <v/>
      </c>
      <c r="I9" s="29">
        <f>'01_Assumptions'!I43</f>
        <v/>
      </c>
      <c r="J9" s="29">
        <f>'01_Assumptions'!J43</f>
        <v/>
      </c>
      <c r="K9" s="29">
        <f>'01_Assumptions'!K43</f>
        <v/>
      </c>
    </row>
    <row r="10">
      <c r="B10" s="15" t="inlineStr">
        <is>
          <t>Incremental revenue</t>
        </is>
      </c>
      <c r="C10" s="24">
        <f>C9*'01_Assumptions'!$C$48</f>
        <v/>
      </c>
      <c r="D10" s="24">
        <f>D9*'01_Assumptions'!$C$48</f>
        <v/>
      </c>
      <c r="E10" s="24">
        <f>E9*'01_Assumptions'!$C$48</f>
        <v/>
      </c>
      <c r="F10" s="24">
        <f>F9*'01_Assumptions'!$C$48</f>
        <v/>
      </c>
      <c r="G10" s="24">
        <f>G9*'01_Assumptions'!$C$48</f>
        <v/>
      </c>
      <c r="H10" s="24">
        <f>H9*'01_Assumptions'!$C$48</f>
        <v/>
      </c>
      <c r="I10" s="24">
        <f>I9*'01_Assumptions'!$C$48</f>
        <v/>
      </c>
      <c r="J10" s="24">
        <f>J9*'01_Assumptions'!$C$48</f>
        <v/>
      </c>
      <c r="K10" s="24">
        <f>K9*'01_Assumptions'!$C$48</f>
        <v/>
      </c>
    </row>
    <row r="11">
      <c r="B11" s="15" t="inlineStr">
        <is>
          <t>Incremental gross profit</t>
        </is>
      </c>
      <c r="C11" s="24">
        <f>C9*'01_Assumptions'!$C$49*'01_Assumptions'!$C$10</f>
        <v/>
      </c>
      <c r="D11" s="24">
        <f>D9*'01_Assumptions'!$C$49*'01_Assumptions'!$C$10</f>
        <v/>
      </c>
      <c r="E11" s="24">
        <f>E9*'01_Assumptions'!$C$49*'01_Assumptions'!$C$10</f>
        <v/>
      </c>
      <c r="F11" s="24">
        <f>F9*'01_Assumptions'!$C$49*'01_Assumptions'!$C$10</f>
        <v/>
      </c>
      <c r="G11" s="24">
        <f>G9*'01_Assumptions'!$C$49*'01_Assumptions'!$C$10</f>
        <v/>
      </c>
      <c r="H11" s="24">
        <f>H9*'01_Assumptions'!$C$49*'01_Assumptions'!$C$10</f>
        <v/>
      </c>
      <c r="I11" s="24">
        <f>I9*'01_Assumptions'!$C$49*'01_Assumptions'!$C$10</f>
        <v/>
      </c>
      <c r="J11" s="24">
        <f>J9*'01_Assumptions'!$C$49*'01_Assumptions'!$C$10</f>
        <v/>
      </c>
      <c r="K11" s="24">
        <f>K9*'01_Assumptions'!$C$49*'01_Assumptions'!$C$10</f>
        <v/>
      </c>
    </row>
    <row r="12">
      <c r="B12" s="15" t="inlineStr">
        <is>
          <t>Cost savings</t>
        </is>
      </c>
      <c r="C12" s="24">
        <f>'01_Assumptions'!$C$56*'01_Assumptions'!C36*'01_Assumptions'!$C$9</f>
        <v/>
      </c>
      <c r="D12" s="24">
        <f>'01_Assumptions'!$C$56*'01_Assumptions'!D36*'01_Assumptions'!$C$9</f>
        <v/>
      </c>
      <c r="E12" s="24">
        <f>'01_Assumptions'!$C$56*'01_Assumptions'!E36*'01_Assumptions'!$C$9</f>
        <v/>
      </c>
      <c r="F12" s="24">
        <f>'01_Assumptions'!$C$56*'01_Assumptions'!F36*'01_Assumptions'!$C$9</f>
        <v/>
      </c>
      <c r="G12" s="24">
        <f>'01_Assumptions'!$C$56*'01_Assumptions'!G36*'01_Assumptions'!$C$9</f>
        <v/>
      </c>
      <c r="H12" s="24">
        <f>'01_Assumptions'!$C$56*'01_Assumptions'!H36*'01_Assumptions'!$C$9</f>
        <v/>
      </c>
      <c r="I12" s="24">
        <f>'01_Assumptions'!$C$56*'01_Assumptions'!I36*'01_Assumptions'!$C$9</f>
        <v/>
      </c>
      <c r="J12" s="24">
        <f>'01_Assumptions'!$C$56*'01_Assumptions'!J36*'01_Assumptions'!$C$9</f>
        <v/>
      </c>
      <c r="K12" s="24">
        <f>'01_Assumptions'!$C$56*'01_Assumptions'!K36*'01_Assumptions'!$C$9</f>
        <v/>
      </c>
    </row>
    <row r="13">
      <c r="B13" s="15" t="inlineStr">
        <is>
          <t>Variable distribution</t>
        </is>
      </c>
      <c r="C13" s="24">
        <f>C9*'01_Assumptions'!$C$50</f>
        <v/>
      </c>
      <c r="D13" s="24">
        <f>D9*'01_Assumptions'!$C$50</f>
        <v/>
      </c>
      <c r="E13" s="24">
        <f>E9*'01_Assumptions'!$C$50</f>
        <v/>
      </c>
      <c r="F13" s="24">
        <f>F9*'01_Assumptions'!$C$50</f>
        <v/>
      </c>
      <c r="G13" s="24">
        <f>G9*'01_Assumptions'!$C$50</f>
        <v/>
      </c>
      <c r="H13" s="24">
        <f>H9*'01_Assumptions'!$C$50</f>
        <v/>
      </c>
      <c r="I13" s="24">
        <f>I9*'01_Assumptions'!$C$50</f>
        <v/>
      </c>
      <c r="J13" s="24">
        <f>J9*'01_Assumptions'!$C$50</f>
        <v/>
      </c>
      <c r="K13" s="24">
        <f>K9*'01_Assumptions'!$C$50</f>
        <v/>
      </c>
    </row>
    <row r="14">
      <c r="B14" s="15" t="inlineStr">
        <is>
          <t>Incremental G&amp;A</t>
        </is>
      </c>
      <c r="C14" s="24">
        <f>'01_Assumptions'!C44</f>
        <v/>
      </c>
      <c r="D14" s="24">
        <f>'01_Assumptions'!D44</f>
        <v/>
      </c>
      <c r="E14" s="24">
        <f>'01_Assumptions'!E44</f>
        <v/>
      </c>
      <c r="F14" s="24">
        <f>'01_Assumptions'!F44</f>
        <v/>
      </c>
      <c r="G14" s="24">
        <f>'01_Assumptions'!G44</f>
        <v/>
      </c>
      <c r="H14" s="24">
        <f>'01_Assumptions'!H44</f>
        <v/>
      </c>
      <c r="I14" s="24">
        <f>'01_Assumptions'!I44</f>
        <v/>
      </c>
      <c r="J14" s="24">
        <f>'01_Assumptions'!J44</f>
        <v/>
      </c>
      <c r="K14" s="24">
        <f>'01_Assumptions'!K44</f>
        <v/>
      </c>
    </row>
    <row r="15">
      <c r="B15" s="23" t="inlineStr">
        <is>
          <t>Incremental EBITDA</t>
        </is>
      </c>
      <c r="C15" s="25">
        <f>C11+C12-C13-C14</f>
        <v/>
      </c>
      <c r="D15" s="25">
        <f>D11+D12-D13-D14</f>
        <v/>
      </c>
      <c r="E15" s="25">
        <f>E11+E12-E13-E14</f>
        <v/>
      </c>
      <c r="F15" s="25">
        <f>F11+F12-F13-F14</f>
        <v/>
      </c>
      <c r="G15" s="25">
        <f>G11+G12-G13-G14</f>
        <v/>
      </c>
      <c r="H15" s="25">
        <f>H11+H12-H13-H14</f>
        <v/>
      </c>
      <c r="I15" s="25">
        <f>I11+I12-I13-I14</f>
        <v/>
      </c>
      <c r="J15" s="25">
        <f>J11+J12-J13-J14</f>
        <v/>
      </c>
      <c r="K15" s="25">
        <f>K11+K12-K13-K14</f>
        <v/>
      </c>
    </row>
    <row r="16">
      <c r="B16" s="15" t="inlineStr">
        <is>
          <t>D&amp;A</t>
        </is>
      </c>
      <c r="C16" s="24">
        <f>IF(AND(C6&gt;=1,C6&lt;='01_Assumptions'!$C$27),'01_Assumptions'!$C$62,0)</f>
        <v/>
      </c>
      <c r="D16" s="24">
        <f>IF(AND(D6&gt;=1,D6&lt;='01_Assumptions'!$C$27),'01_Assumptions'!$C$62,0)</f>
        <v/>
      </c>
      <c r="E16" s="24">
        <f>IF(AND(E6&gt;=1,E6&lt;='01_Assumptions'!$C$27),'01_Assumptions'!$C$62,0)</f>
        <v/>
      </c>
      <c r="F16" s="24">
        <f>IF(AND(F6&gt;=1,F6&lt;='01_Assumptions'!$C$27),'01_Assumptions'!$C$62,0)</f>
        <v/>
      </c>
      <c r="G16" s="24">
        <f>IF(AND(G6&gt;=1,G6&lt;='01_Assumptions'!$C$27),'01_Assumptions'!$C$62,0)</f>
        <v/>
      </c>
      <c r="H16" s="24">
        <f>IF(AND(H6&gt;=1,H6&lt;='01_Assumptions'!$C$27),'01_Assumptions'!$C$62,0)</f>
        <v/>
      </c>
      <c r="I16" s="24">
        <f>IF(AND(I6&gt;=1,I6&lt;='01_Assumptions'!$C$27),'01_Assumptions'!$C$62,0)</f>
        <v/>
      </c>
      <c r="J16" s="24">
        <f>IF(AND(J6&gt;=1,J6&lt;='01_Assumptions'!$C$27),'01_Assumptions'!$C$62,0)</f>
        <v/>
      </c>
      <c r="K16" s="24">
        <f>IF(AND(K6&gt;=1,K6&lt;='01_Assumptions'!$C$27),'01_Assumptions'!$C$62,0)</f>
        <v/>
      </c>
    </row>
    <row r="17">
      <c r="B17" s="15" t="inlineStr">
        <is>
          <t>EBIT</t>
        </is>
      </c>
      <c r="C17" s="24">
        <f>C15-C16</f>
        <v/>
      </c>
      <c r="D17" s="24">
        <f>D15-D16</f>
        <v/>
      </c>
      <c r="E17" s="24">
        <f>E15-E16</f>
        <v/>
      </c>
      <c r="F17" s="24">
        <f>F15-F16</f>
        <v/>
      </c>
      <c r="G17" s="24">
        <f>G15-G16</f>
        <v/>
      </c>
      <c r="H17" s="24">
        <f>H15-H16</f>
        <v/>
      </c>
      <c r="I17" s="24">
        <f>I15-I16</f>
        <v/>
      </c>
      <c r="J17" s="24">
        <f>J15-J16</f>
        <v/>
      </c>
      <c r="K17" s="24">
        <f>K15-K16</f>
        <v/>
      </c>
    </row>
    <row r="18">
      <c r="B18" s="15" t="inlineStr">
        <is>
          <t>Tax on EBIT</t>
        </is>
      </c>
      <c r="C18" s="24">
        <f>C17*'01_Assumptions'!$C$26</f>
        <v/>
      </c>
      <c r="D18" s="24">
        <f>D17*'01_Assumptions'!$C$26</f>
        <v/>
      </c>
      <c r="E18" s="24">
        <f>E17*'01_Assumptions'!$C$26</f>
        <v/>
      </c>
      <c r="F18" s="24">
        <f>F17*'01_Assumptions'!$C$26</f>
        <v/>
      </c>
      <c r="G18" s="24">
        <f>G17*'01_Assumptions'!$C$26</f>
        <v/>
      </c>
      <c r="H18" s="24">
        <f>H17*'01_Assumptions'!$C$26</f>
        <v/>
      </c>
      <c r="I18" s="24">
        <f>I17*'01_Assumptions'!$C$26</f>
        <v/>
      </c>
      <c r="J18" s="24">
        <f>J17*'01_Assumptions'!$C$26</f>
        <v/>
      </c>
      <c r="K18" s="24">
        <f>K17*'01_Assumptions'!$C$26</f>
        <v/>
      </c>
    </row>
    <row r="19">
      <c r="B19" s="15" t="inlineStr">
        <is>
          <t>NOPAT</t>
        </is>
      </c>
      <c r="C19" s="24">
        <f>C17-C18</f>
        <v/>
      </c>
      <c r="D19" s="24">
        <f>D17-D18</f>
        <v/>
      </c>
      <c r="E19" s="24">
        <f>E17-E18</f>
        <v/>
      </c>
      <c r="F19" s="24">
        <f>F17-F18</f>
        <v/>
      </c>
      <c r="G19" s="24">
        <f>G17-G18</f>
        <v/>
      </c>
      <c r="H19" s="24">
        <f>H17-H18</f>
        <v/>
      </c>
      <c r="I19" s="24">
        <f>I17-I18</f>
        <v/>
      </c>
      <c r="J19" s="24">
        <f>J17-J18</f>
        <v/>
      </c>
      <c r="K19" s="24">
        <f>K17-K18</f>
        <v/>
      </c>
    </row>
    <row r="20">
      <c r="B20" s="15" t="inlineStr">
        <is>
          <t>+ D&amp;A</t>
        </is>
      </c>
      <c r="C20" s="24">
        <f>C16</f>
        <v/>
      </c>
      <c r="D20" s="24">
        <f>D16</f>
        <v/>
      </c>
      <c r="E20" s="24">
        <f>E16</f>
        <v/>
      </c>
      <c r="F20" s="24">
        <f>F16</f>
        <v/>
      </c>
      <c r="G20" s="24">
        <f>G16</f>
        <v/>
      </c>
      <c r="H20" s="24">
        <f>H16</f>
        <v/>
      </c>
      <c r="I20" s="24">
        <f>I16</f>
        <v/>
      </c>
      <c r="J20" s="24">
        <f>J16</f>
        <v/>
      </c>
      <c r="K20" s="24">
        <f>K16</f>
        <v/>
      </c>
    </row>
    <row r="21">
      <c r="B21" s="23" t="inlineStr">
        <is>
          <t>Gross cash flow</t>
        </is>
      </c>
      <c r="C21" s="25">
        <f>C19+C20</f>
        <v/>
      </c>
      <c r="D21" s="25">
        <f>D19+D20</f>
        <v/>
      </c>
      <c r="E21" s="25">
        <f>E19+E20</f>
        <v/>
      </c>
      <c r="F21" s="25">
        <f>F19+F20</f>
        <v/>
      </c>
      <c r="G21" s="25">
        <f>G19+G20</f>
        <v/>
      </c>
      <c r="H21" s="25">
        <f>H19+H20</f>
        <v/>
      </c>
      <c r="I21" s="25">
        <f>I19+I20</f>
        <v/>
      </c>
      <c r="J21" s="25">
        <f>J19+J20</f>
        <v/>
      </c>
      <c r="K21" s="25">
        <f>K19+K20</f>
        <v/>
      </c>
    </row>
    <row r="23">
      <c r="B23" s="8" t="inlineStr">
        <is>
          <t>Investment</t>
        </is>
      </c>
      <c r="C23" s="9" t="n"/>
      <c r="D23" s="9" t="n"/>
      <c r="E23" s="9" t="n"/>
      <c r="F23" s="9" t="n"/>
      <c r="G23" s="9" t="n"/>
      <c r="H23" s="9" t="n"/>
      <c r="I23" s="9" t="n"/>
      <c r="J23" s="9" t="n"/>
      <c r="K23" s="9" t="n"/>
    </row>
    <row r="24">
      <c r="B24" s="15" t="inlineStr">
        <is>
          <t>Gross capex (spend)</t>
        </is>
      </c>
      <c r="C24" s="24">
        <f>'01_Assumptions'!C41</f>
        <v/>
      </c>
      <c r="D24" s="24">
        <f>'01_Assumptions'!D41</f>
        <v/>
      </c>
      <c r="E24" s="24">
        <f>'01_Assumptions'!E41</f>
        <v/>
      </c>
      <c r="F24" s="24">
        <f>'01_Assumptions'!F41</f>
        <v/>
      </c>
      <c r="G24" s="24">
        <f>'01_Assumptions'!G41</f>
        <v/>
      </c>
      <c r="H24" s="24">
        <f>'01_Assumptions'!H41</f>
        <v/>
      </c>
      <c r="I24" s="24">
        <f>'01_Assumptions'!I41</f>
        <v/>
      </c>
      <c r="J24" s="24">
        <f>'01_Assumptions'!J41</f>
        <v/>
      </c>
      <c r="K24" s="24">
        <f>'01_Assumptions'!K41</f>
        <v/>
      </c>
    </row>
    <row r="25">
      <c r="B25" s="15" t="inlineStr">
        <is>
          <t>Maintenance capex</t>
        </is>
      </c>
      <c r="C25" s="24">
        <f>'01_Assumptions'!C42</f>
        <v/>
      </c>
      <c r="D25" s="24">
        <f>'01_Assumptions'!D42</f>
        <v/>
      </c>
      <c r="E25" s="24">
        <f>'01_Assumptions'!E42</f>
        <v/>
      </c>
      <c r="F25" s="24">
        <f>'01_Assumptions'!F42</f>
        <v/>
      </c>
      <c r="G25" s="24">
        <f>'01_Assumptions'!G42</f>
        <v/>
      </c>
      <c r="H25" s="24">
        <f>'01_Assumptions'!H42</f>
        <v/>
      </c>
      <c r="I25" s="24">
        <f>'01_Assumptions'!I42</f>
        <v/>
      </c>
      <c r="J25" s="24">
        <f>'01_Assumptions'!J42</f>
        <v/>
      </c>
      <c r="K25" s="24">
        <f>'01_Assumptions'!K42</f>
        <v/>
      </c>
    </row>
    <row r="26">
      <c r="B26" s="15" t="inlineStr">
        <is>
          <t>NWC balance</t>
        </is>
      </c>
      <c r="C26" s="24">
        <f>IF(C6&gt;='01_Assumptions'!$C$27,0,'01_Assumptions'!$C$29*C10)</f>
        <v/>
      </c>
      <c r="D26" s="24">
        <f>IF(D6&gt;='01_Assumptions'!$C$27,0,'01_Assumptions'!$C$29*D10)</f>
        <v/>
      </c>
      <c r="E26" s="24">
        <f>IF(E6&gt;='01_Assumptions'!$C$27,0,'01_Assumptions'!$C$29*E10)</f>
        <v/>
      </c>
      <c r="F26" s="24">
        <f>IF(F6&gt;='01_Assumptions'!$C$27,0,'01_Assumptions'!$C$29*F10)</f>
        <v/>
      </c>
      <c r="G26" s="24">
        <f>IF(G6&gt;='01_Assumptions'!$C$27,0,'01_Assumptions'!$C$29*G10)</f>
        <v/>
      </c>
      <c r="H26" s="24">
        <f>IF(H6&gt;='01_Assumptions'!$C$27,0,'01_Assumptions'!$C$29*H10)</f>
        <v/>
      </c>
      <c r="I26" s="24">
        <f>IF(I6&gt;='01_Assumptions'!$C$27,0,'01_Assumptions'!$C$29*I10)</f>
        <v/>
      </c>
      <c r="J26" s="24">
        <f>IF(J6&gt;='01_Assumptions'!$C$27,0,'01_Assumptions'!$C$29*J10)</f>
        <v/>
      </c>
      <c r="K26" s="24">
        <f>IF(K6&gt;='01_Assumptions'!$C$27,0,'01_Assumptions'!$C$29*K10)</f>
        <v/>
      </c>
    </row>
    <row r="27">
      <c r="B27" s="15" t="inlineStr">
        <is>
          <t>Δ NWC (use of cash)</t>
        </is>
      </c>
      <c r="C27" s="24">
        <f>C26</f>
        <v/>
      </c>
      <c r="D27" s="24">
        <f>D26-C26</f>
        <v/>
      </c>
      <c r="E27" s="24">
        <f>E26-D26</f>
        <v/>
      </c>
      <c r="F27" s="24">
        <f>F26-E26</f>
        <v/>
      </c>
      <c r="G27" s="24">
        <f>G26-F26</f>
        <v/>
      </c>
      <c r="H27" s="24">
        <f>H26-G26</f>
        <v/>
      </c>
      <c r="I27" s="24">
        <f>I26-H26</f>
        <v/>
      </c>
      <c r="J27" s="24">
        <f>J26-I26</f>
        <v/>
      </c>
      <c r="K27" s="24">
        <f>K26-J26</f>
        <v/>
      </c>
    </row>
    <row r="28">
      <c r="B28" s="15" t="inlineStr">
        <is>
          <t>After-tax salvage</t>
        </is>
      </c>
      <c r="C28" s="24">
        <f>IF(C6='01_Assumptions'!$C$27,'01_Assumptions'!$C$60,0)</f>
        <v/>
      </c>
      <c r="D28" s="24">
        <f>IF(D6='01_Assumptions'!$C$27,'01_Assumptions'!$C$60,0)</f>
        <v/>
      </c>
      <c r="E28" s="24">
        <f>IF(E6='01_Assumptions'!$C$27,'01_Assumptions'!$C$60,0)</f>
        <v/>
      </c>
      <c r="F28" s="24">
        <f>IF(F6='01_Assumptions'!$C$27,'01_Assumptions'!$C$60,0)</f>
        <v/>
      </c>
      <c r="G28" s="24">
        <f>IF(G6='01_Assumptions'!$C$27,'01_Assumptions'!$C$60,0)</f>
        <v/>
      </c>
      <c r="H28" s="24">
        <f>IF(H6='01_Assumptions'!$C$27,'01_Assumptions'!$C$60,0)</f>
        <v/>
      </c>
      <c r="I28" s="24">
        <f>IF(I6='01_Assumptions'!$C$27,'01_Assumptions'!$C$60,0)</f>
        <v/>
      </c>
      <c r="J28" s="24">
        <f>IF(J6='01_Assumptions'!$C$27,'01_Assumptions'!$C$60,0)</f>
        <v/>
      </c>
      <c r="K28" s="24">
        <f>IF(K6='01_Assumptions'!$C$27,'01_Assumptions'!$C$60,0)</f>
        <v/>
      </c>
    </row>
    <row r="29">
      <c r="B29" s="23" t="inlineStr">
        <is>
          <t>Unlevered FCF</t>
        </is>
      </c>
      <c r="C29" s="25">
        <f>C21-C24-C25-C27+C28</f>
        <v/>
      </c>
      <c r="D29" s="25">
        <f>D21-D24-D25-D27+D28</f>
        <v/>
      </c>
      <c r="E29" s="25">
        <f>E21-E24-E25-E27+E28</f>
        <v/>
      </c>
      <c r="F29" s="25">
        <f>F21-F24-F25-F27+F28</f>
        <v/>
      </c>
      <c r="G29" s="25">
        <f>G21-G24-G25-G27+G28</f>
        <v/>
      </c>
      <c r="H29" s="25">
        <f>H21-H24-H25-H27+H28</f>
        <v/>
      </c>
      <c r="I29" s="25">
        <f>I21-I24-I25-I27+I28</f>
        <v/>
      </c>
      <c r="J29" s="25">
        <f>J21-J24-J25-J27+J28</f>
        <v/>
      </c>
      <c r="K29" s="25">
        <f>K21-K24-K25-K27+K28</f>
        <v/>
      </c>
    </row>
    <row r="30">
      <c r="B30" s="23" t="inlineStr">
        <is>
          <t>Cumulative FCF</t>
        </is>
      </c>
      <c r="C30" s="25">
        <f>C29</f>
        <v/>
      </c>
      <c r="D30" s="25">
        <f>C30+D29</f>
        <v/>
      </c>
      <c r="E30" s="25">
        <f>D30+E29</f>
        <v/>
      </c>
      <c r="F30" s="25">
        <f>E30+F29</f>
        <v/>
      </c>
      <c r="G30" s="25">
        <f>F30+G29</f>
        <v/>
      </c>
      <c r="H30" s="25">
        <f>G30+H29</f>
        <v/>
      </c>
      <c r="I30" s="25">
        <f>H30+I29</f>
        <v/>
      </c>
      <c r="J30" s="25">
        <f>I30+J29</f>
        <v/>
      </c>
      <c r="K30" s="25">
        <f>J30+K29</f>
        <v/>
      </c>
    </row>
    <row r="32">
      <c r="B32" s="8" t="inlineStr">
        <is>
          <t>Discounting</t>
        </is>
      </c>
      <c r="C32" s="9" t="n"/>
      <c r="D32" s="9" t="n"/>
      <c r="E32" s="9" t="n"/>
      <c r="F32" s="9" t="n"/>
      <c r="G32" s="9" t="n"/>
      <c r="H32" s="9" t="n"/>
      <c r="I32" s="9" t="n"/>
      <c r="J32" s="9" t="n"/>
      <c r="K32" s="9" t="n"/>
    </row>
    <row r="33">
      <c r="B33" s="15" t="inlineStr">
        <is>
          <t>Discount factor</t>
        </is>
      </c>
      <c r="C33" s="13">
        <f>1/(1+'01_Assumptions'!$C$25)^C6</f>
        <v/>
      </c>
      <c r="D33" s="13">
        <f>1/(1+'01_Assumptions'!$C$25)^D6</f>
        <v/>
      </c>
      <c r="E33" s="13">
        <f>1/(1+'01_Assumptions'!$C$25)^E6</f>
        <v/>
      </c>
      <c r="F33" s="13">
        <f>1/(1+'01_Assumptions'!$C$25)^F6</f>
        <v/>
      </c>
      <c r="G33" s="13">
        <f>1/(1+'01_Assumptions'!$C$25)^G6</f>
        <v/>
      </c>
      <c r="H33" s="13">
        <f>1/(1+'01_Assumptions'!$C$25)^H6</f>
        <v/>
      </c>
      <c r="I33" s="13">
        <f>1/(1+'01_Assumptions'!$C$25)^I6</f>
        <v/>
      </c>
      <c r="J33" s="13">
        <f>1/(1+'01_Assumptions'!$C$25)^J6</f>
        <v/>
      </c>
      <c r="K33" s="13">
        <f>1/(1+'01_Assumptions'!$C$25)^K6</f>
        <v/>
      </c>
    </row>
    <row r="34">
      <c r="B34" s="15" t="inlineStr">
        <is>
          <t>PV of FCF</t>
        </is>
      </c>
      <c r="C34" s="24">
        <f>C29*C33</f>
        <v/>
      </c>
      <c r="D34" s="24">
        <f>D29*D33</f>
        <v/>
      </c>
      <c r="E34" s="24">
        <f>E29*E33</f>
        <v/>
      </c>
      <c r="F34" s="24">
        <f>F29*F33</f>
        <v/>
      </c>
      <c r="G34" s="24">
        <f>G29*G33</f>
        <v/>
      </c>
      <c r="H34" s="24">
        <f>H29*H33</f>
        <v/>
      </c>
      <c r="I34" s="24">
        <f>I29*I33</f>
        <v/>
      </c>
      <c r="J34" s="24">
        <f>J29*J33</f>
        <v/>
      </c>
      <c r="K34" s="24">
        <f>K29*K33</f>
        <v/>
      </c>
    </row>
    <row r="35">
      <c r="B35" s="23" t="inlineStr">
        <is>
          <t>Cumulative PV of FCF</t>
        </is>
      </c>
      <c r="C35" s="25">
        <f>C34</f>
        <v/>
      </c>
      <c r="D35" s="25">
        <f>C35+D34</f>
        <v/>
      </c>
      <c r="E35" s="25">
        <f>D35+E34</f>
        <v/>
      </c>
      <c r="F35" s="25">
        <f>E35+F34</f>
        <v/>
      </c>
      <c r="G35" s="25">
        <f>F35+G34</f>
        <v/>
      </c>
      <c r="H35" s="25">
        <f>G35+H34</f>
        <v/>
      </c>
      <c r="I35" s="25">
        <f>H35+I34</f>
        <v/>
      </c>
      <c r="J35" s="25">
        <f>I35+J34</f>
        <v/>
      </c>
      <c r="K35" s="25">
        <f>J35+K34</f>
        <v/>
      </c>
    </row>
    <row r="37">
      <c r="B37" s="30" t="inlineStr">
        <is>
          <t>NWC is released in the final project year (balance set to 0). Salvage equals the residual book value, so it is untaxed. Tax on EBIT can be negative in the install year (tax shield).</t>
        </is>
      </c>
    </row>
    <row r="38"/>
  </sheetData>
  <mergeCells count="1">
    <mergeCell ref="B37:K38"/>
  </mergeCells>
  <pageMargins left="0.75" right="0.75" top="1" bottom="1" header="0.5" footer="0.5"/>
  <pageSetup orientation="landscape" paperSize="3" fitToHeight="0" fitToWidth="1"/>
  <headerFooter>
    <oddHeader/>
    <oddFooter>&amp;LNorthline Consumer Products  |  fictional sample  |  $000s&amp;RPage &amp;P of &amp;N</oddFooter>
    <evenHeader/>
    <evenFooter/>
    <firstHeader/>
    <firstFooter/>
  </headerFooter>
</worksheet>
</file>

<file path=xl/worksheets/sheet4.xml><?xml version="1.0" encoding="utf-8"?>
<worksheet xmlns="http://schemas.openxmlformats.org/spreadsheetml/2006/main">
  <sheetPr>
    <tabColor rgb="00548235"/>
    <outlinePr summaryBelow="1" summaryRight="1"/>
    <pageSetUpPr fitToPage="1"/>
  </sheetPr>
  <dimension ref="B2:K82"/>
  <sheetViews>
    <sheetView showGridLines="0" workbookViewId="0">
      <selection activeCell="A1" sqref="A1"/>
    </sheetView>
  </sheetViews>
  <sheetFormatPr baseColWidth="8" defaultRowHeight="15"/>
  <cols>
    <col width="4" customWidth="1" min="1" max="1"/>
    <col width="4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22" customWidth="1" min="12" max="12"/>
  </cols>
  <sheetData>
    <row r="2">
      <c r="B2" s="1" t="inlineStr">
        <is>
          <t>Returns</t>
        </is>
      </c>
    </row>
    <row r="3">
      <c r="B3" s="3" t="inlineStr">
        <is>
          <t>NPV at WACC, IRR, payback (undiscounted and discounted), profitability index. All formulas from 02_Cash_Flows.</t>
        </is>
      </c>
    </row>
    <row r="5">
      <c r="B5" s="8" t="inlineStr">
        <is>
          <t>Investment committee metrics</t>
        </is>
      </c>
      <c r="C5" s="9" t="n"/>
      <c r="D5" s="9" t="n"/>
      <c r="E5" s="9" t="n"/>
    </row>
    <row r="6">
      <c r="B6" s="23" t="inlineStr">
        <is>
          <t>NPV ($000s)</t>
        </is>
      </c>
      <c r="C6" s="25">
        <f>NPV('01_Assumptions'!C25,'02_Cash_Flows'!D29:K29)+'02_Cash_Flows'!C29</f>
        <v/>
      </c>
      <c r="D6" s="12" t="inlineStr">
        <is>
          <t>Year-end discounting. NPV = FCF₀ + NPV(WACC, FCF₁…FCF₈).</t>
        </is>
      </c>
    </row>
    <row r="7">
      <c r="B7" s="23" t="inlineStr">
        <is>
          <t>IRR</t>
        </is>
      </c>
      <c r="C7" s="31">
        <f>IRR('02_Cash_Flows'!C29:K29)</f>
        <v/>
      </c>
      <c r="D7" s="12" t="inlineStr">
        <is>
          <t>IRR on the unlevered FCF series including t = 0 spend.</t>
        </is>
      </c>
    </row>
    <row r="8">
      <c r="B8" s="32" t="inlineStr">
        <is>
          <t>WACC (hurdle)</t>
        </is>
      </c>
      <c r="C8" s="33">
        <f>'01_Assumptions'!C25</f>
        <v/>
      </c>
    </row>
    <row r="9">
      <c r="B9" s="23" t="inlineStr">
        <is>
          <t>IRR − WACC (spread)</t>
        </is>
      </c>
      <c r="C9" s="31">
        <f>C7-C8</f>
        <v/>
      </c>
    </row>
    <row r="10">
      <c r="B10" s="32" t="inlineStr">
        <is>
          <t>Total gross capex ($000s)</t>
        </is>
      </c>
      <c r="C10" s="24">
        <f>'01_Assumptions'!C59</f>
        <v/>
      </c>
    </row>
    <row r="11">
      <c r="B11" s="32" t="inlineStr">
        <is>
          <t>PV of capex + maintenance ($000s)</t>
        </is>
      </c>
      <c r="C11" s="24">
        <f>SUMPRODUCT('02_Cash_Flows'!C24:K24+'02_Cash_Flows'!C25:K25,'02_Cash_Flows'!C33:K33)</f>
        <v/>
      </c>
    </row>
    <row r="12">
      <c r="B12" s="23" t="inlineStr">
        <is>
          <t>Profitability index</t>
        </is>
      </c>
      <c r="C12" s="34">
        <f>IF(C11=0,"n.m.",(C6+C11)/C11)</f>
        <v/>
      </c>
      <c r="D12" s="12" t="inlineStr">
        <is>
          <t>(NPV + PV of investment) / PV of investment. &gt;1 with NPV &gt; 0.</t>
        </is>
      </c>
    </row>
    <row r="13">
      <c r="B13" s="23" t="inlineStr">
        <is>
          <t>Undiscounted payback (years from 2026)</t>
        </is>
      </c>
      <c r="C13" s="35">
        <f>C42</f>
        <v/>
      </c>
    </row>
    <row r="14">
      <c r="B14" s="23" t="inlineStr">
        <is>
          <t>Discounted payback (years from 2026)</t>
        </is>
      </c>
      <c r="C14" s="35">
        <f>C48</f>
        <v/>
      </c>
    </row>
    <row r="15">
      <c r="B15" s="32" t="inlineStr">
        <is>
          <t>Sum of unlevered FCF ($000s)</t>
        </is>
      </c>
      <c r="C15" s="24">
        <f>SUM('02_Cash_Flows'!C29:K29)</f>
        <v/>
      </c>
    </row>
    <row r="17">
      <c r="B17" s="8" t="inlineStr">
        <is>
          <t>Recommendation</t>
        </is>
      </c>
      <c r="C17" s="9" t="n"/>
      <c r="D17" s="9" t="n"/>
      <c r="E17" s="9" t="n"/>
    </row>
    <row r="18">
      <c r="B18" t="inlineStr">
        <is>
          <t>Decision</t>
        </is>
      </c>
      <c r="C18" s="36">
        <f>IF(AND(ISNUMBER(C6),C6&gt;0,ISNUMBER(C7),C7&gt;C8,ISNUMBER(C13),C13&lt;=5),"Recommend approve","Review — NPV, spread, or payback off-hurdle")</f>
        <v/>
      </c>
      <c r="D18" s="18" t="n"/>
      <c r="E18" s="18" t="n"/>
      <c r="F18" s="18" t="n"/>
      <c r="G18" s="19" t="n"/>
    </row>
    <row r="19">
      <c r="B19" t="inlineStr">
        <is>
          <t>Rule</t>
        </is>
      </c>
      <c r="C19" s="12" t="inlineStr">
        <is>
          <t>Approve if NPV &gt; 0, IRR &gt; WACC, and undiscounted payback ≤ 5 years. Otherwise review.</t>
        </is>
      </c>
    </row>
    <row r="21">
      <c r="B21" s="8" t="inlineStr">
        <is>
          <t>Cash-flow strip (for payback and chart)</t>
        </is>
      </c>
      <c r="C21" s="9" t="n"/>
      <c r="D21" s="9" t="n"/>
      <c r="E21" s="9" t="n"/>
      <c r="F21" s="9" t="n"/>
      <c r="G21" s="9" t="n"/>
      <c r="H21" s="9" t="n"/>
      <c r="I21" s="9" t="n"/>
      <c r="J21" s="9" t="n"/>
      <c r="K21" s="9" t="n"/>
    </row>
    <row r="22">
      <c r="B22" s="14" t="inlineStr">
        <is>
          <t>Item</t>
        </is>
      </c>
      <c r="C22" s="14" t="inlineStr">
        <is>
          <t>2026</t>
        </is>
      </c>
      <c r="D22" s="14" t="inlineStr">
        <is>
          <t>2027</t>
        </is>
      </c>
      <c r="E22" s="14" t="inlineStr">
        <is>
          <t>2028</t>
        </is>
      </c>
      <c r="F22" s="14" t="inlineStr">
        <is>
          <t>2029</t>
        </is>
      </c>
      <c r="G22" s="14" t="inlineStr">
        <is>
          <t>2030</t>
        </is>
      </c>
      <c r="H22" s="14" t="inlineStr">
        <is>
          <t>2031</t>
        </is>
      </c>
      <c r="I22" s="14" t="inlineStr">
        <is>
          <t>2032</t>
        </is>
      </c>
      <c r="J22" s="14" t="inlineStr">
        <is>
          <t>2033</t>
        </is>
      </c>
      <c r="K22" s="14" t="inlineStr">
        <is>
          <t>2034</t>
        </is>
      </c>
    </row>
    <row r="23">
      <c r="B23" s="15" t="inlineStr">
        <is>
          <t>t</t>
        </is>
      </c>
      <c r="C23" s="22">
        <f>'02_Cash_Flows'!C6</f>
        <v/>
      </c>
      <c r="D23" s="22">
        <f>'02_Cash_Flows'!D6</f>
        <v/>
      </c>
      <c r="E23" s="22">
        <f>'02_Cash_Flows'!E6</f>
        <v/>
      </c>
      <c r="F23" s="22">
        <f>'02_Cash_Flows'!F6</f>
        <v/>
      </c>
      <c r="G23" s="22">
        <f>'02_Cash_Flows'!G6</f>
        <v/>
      </c>
      <c r="H23" s="22">
        <f>'02_Cash_Flows'!H6</f>
        <v/>
      </c>
      <c r="I23" s="22">
        <f>'02_Cash_Flows'!I6</f>
        <v/>
      </c>
      <c r="J23" s="22">
        <f>'02_Cash_Flows'!J6</f>
        <v/>
      </c>
      <c r="K23" s="22">
        <f>'02_Cash_Flows'!K6</f>
        <v/>
      </c>
    </row>
    <row r="24">
      <c r="B24" s="15" t="inlineStr">
        <is>
          <t>Unlevered FCF</t>
        </is>
      </c>
      <c r="C24" s="25">
        <f>'02_Cash_Flows'!C29</f>
        <v/>
      </c>
      <c r="D24" s="25">
        <f>'02_Cash_Flows'!D29</f>
        <v/>
      </c>
      <c r="E24" s="25">
        <f>'02_Cash_Flows'!E29</f>
        <v/>
      </c>
      <c r="F24" s="25">
        <f>'02_Cash_Flows'!F29</f>
        <v/>
      </c>
      <c r="G24" s="25">
        <f>'02_Cash_Flows'!G29</f>
        <v/>
      </c>
      <c r="H24" s="25">
        <f>'02_Cash_Flows'!H29</f>
        <v/>
      </c>
      <c r="I24" s="25">
        <f>'02_Cash_Flows'!I29</f>
        <v/>
      </c>
      <c r="J24" s="25">
        <f>'02_Cash_Flows'!J29</f>
        <v/>
      </c>
      <c r="K24" s="25">
        <f>'02_Cash_Flows'!K29</f>
        <v/>
      </c>
    </row>
    <row r="25">
      <c r="B25" s="15" t="inlineStr">
        <is>
          <t>Cumulative FCF</t>
        </is>
      </c>
      <c r="C25" s="24">
        <f>'02_Cash_Flows'!C30</f>
        <v/>
      </c>
      <c r="D25" s="24">
        <f>'02_Cash_Flows'!D30</f>
        <v/>
      </c>
      <c r="E25" s="24">
        <f>'02_Cash_Flows'!E30</f>
        <v/>
      </c>
      <c r="F25" s="24">
        <f>'02_Cash_Flows'!F30</f>
        <v/>
      </c>
      <c r="G25" s="24">
        <f>'02_Cash_Flows'!G30</f>
        <v/>
      </c>
      <c r="H25" s="24">
        <f>'02_Cash_Flows'!H30</f>
        <v/>
      </c>
      <c r="I25" s="24">
        <f>'02_Cash_Flows'!I30</f>
        <v/>
      </c>
      <c r="J25" s="24">
        <f>'02_Cash_Flows'!J30</f>
        <v/>
      </c>
      <c r="K25" s="24">
        <f>'02_Cash_Flows'!K30</f>
        <v/>
      </c>
    </row>
    <row r="26">
      <c r="B26" s="15" t="inlineStr">
        <is>
          <t>PV of FCF</t>
        </is>
      </c>
      <c r="C26" s="24">
        <f>'02_Cash_Flows'!C34</f>
        <v/>
      </c>
      <c r="D26" s="24">
        <f>'02_Cash_Flows'!D34</f>
        <v/>
      </c>
      <c r="E26" s="24">
        <f>'02_Cash_Flows'!E34</f>
        <v/>
      </c>
      <c r="F26" s="24">
        <f>'02_Cash_Flows'!F34</f>
        <v/>
      </c>
      <c r="G26" s="24">
        <f>'02_Cash_Flows'!G34</f>
        <v/>
      </c>
      <c r="H26" s="24">
        <f>'02_Cash_Flows'!H34</f>
        <v/>
      </c>
      <c r="I26" s="24">
        <f>'02_Cash_Flows'!I34</f>
        <v/>
      </c>
      <c r="J26" s="24">
        <f>'02_Cash_Flows'!J34</f>
        <v/>
      </c>
      <c r="K26" s="24">
        <f>'02_Cash_Flows'!K34</f>
        <v/>
      </c>
    </row>
    <row r="27">
      <c r="B27" s="15" t="inlineStr">
        <is>
          <t>Cumulative PV</t>
        </is>
      </c>
      <c r="C27" s="24">
        <f>'02_Cash_Flows'!C35</f>
        <v/>
      </c>
      <c r="D27" s="24">
        <f>'02_Cash_Flows'!D35</f>
        <v/>
      </c>
      <c r="E27" s="24">
        <f>'02_Cash_Flows'!E35</f>
        <v/>
      </c>
      <c r="F27" s="24">
        <f>'02_Cash_Flows'!F35</f>
        <v/>
      </c>
      <c r="G27" s="24">
        <f>'02_Cash_Flows'!G35</f>
        <v/>
      </c>
      <c r="H27" s="24">
        <f>'02_Cash_Flows'!H35</f>
        <v/>
      </c>
      <c r="I27" s="24">
        <f>'02_Cash_Flows'!I35</f>
        <v/>
      </c>
      <c r="J27" s="24">
        <f>'02_Cash_Flows'!J35</f>
        <v/>
      </c>
      <c r="K27" s="24">
        <f>'02_Cash_Flows'!K35</f>
        <v/>
      </c>
    </row>
    <row r="28">
      <c r="B28" s="15" t="inlineStr">
        <is>
          <t>Payback crossing (undiscounted)</t>
        </is>
      </c>
      <c r="C28" s="37">
        <f>IF(C25&gt;=0,0,0)</f>
        <v/>
      </c>
      <c r="D28" s="37">
        <f>IF(AND(C25&lt;0,D25&gt;=0),C23+ABS(C25)/D24,0)</f>
        <v/>
      </c>
      <c r="E28" s="37">
        <f>IF(AND(D25&lt;0,E25&gt;=0),D23+ABS(D25)/E24,0)</f>
        <v/>
      </c>
      <c r="F28" s="37">
        <f>IF(AND(E25&lt;0,F25&gt;=0),E23+ABS(E25)/F24,0)</f>
        <v/>
      </c>
      <c r="G28" s="37">
        <f>IF(AND(F25&lt;0,G25&gt;=0),F23+ABS(F25)/G24,0)</f>
        <v/>
      </c>
      <c r="H28" s="37">
        <f>IF(AND(G25&lt;0,H25&gt;=0),G23+ABS(G25)/H24,0)</f>
        <v/>
      </c>
      <c r="I28" s="37">
        <f>IF(AND(H25&lt;0,I25&gt;=0),H23+ABS(H25)/I24,0)</f>
        <v/>
      </c>
      <c r="J28" s="37">
        <f>IF(AND(I25&lt;0,J25&gt;=0),I23+ABS(I25)/J24,0)</f>
        <v/>
      </c>
      <c r="K28" s="37">
        <f>IF(AND(J25&lt;0,K25&gt;=0),J23+ABS(J25)/K24,0)</f>
        <v/>
      </c>
    </row>
    <row r="29">
      <c r="B29" s="15" t="inlineStr">
        <is>
          <t>Payback crossing (discounted)</t>
        </is>
      </c>
      <c r="C29" s="37">
        <f>IF(C27&gt;=0,0,0)</f>
        <v/>
      </c>
      <c r="D29" s="37">
        <f>IF(AND(C27&lt;0,D27&gt;=0),C23+ABS(C27)/D26,0)</f>
        <v/>
      </c>
      <c r="E29" s="37">
        <f>IF(AND(D27&lt;0,E27&gt;=0),D23+ABS(D27)/E26,0)</f>
        <v/>
      </c>
      <c r="F29" s="37">
        <f>IF(AND(E27&lt;0,F27&gt;=0),E23+ABS(E27)/F26,0)</f>
        <v/>
      </c>
      <c r="G29" s="37">
        <f>IF(AND(F27&lt;0,G27&gt;=0),F23+ABS(F27)/G26,0)</f>
        <v/>
      </c>
      <c r="H29" s="37">
        <f>IF(AND(G27&lt;0,H27&gt;=0),G23+ABS(G27)/H26,0)</f>
        <v/>
      </c>
      <c r="I29" s="37">
        <f>IF(AND(H27&lt;0,I27&gt;=0),H23+ABS(H27)/I26,0)</f>
        <v/>
      </c>
      <c r="J29" s="37">
        <f>IF(AND(I27&lt;0,J27&gt;=0),I23+ABS(I27)/J26,0)</f>
        <v/>
      </c>
      <c r="K29" s="37">
        <f>IF(AND(J27&lt;0,K27&gt;=0),J23+ABS(J27)/K26,0)</f>
        <v/>
      </c>
    </row>
    <row r="31">
      <c r="B31" s="8" t="inlineStr">
        <is>
          <t>Payback helpers</t>
        </is>
      </c>
      <c r="C31" s="9" t="n"/>
      <c r="D31" s="9" t="n"/>
      <c r="E31" s="9" t="n"/>
    </row>
    <row r="32">
      <c r="B32" t="inlineStr">
        <is>
          <t>First year cumulative FCF ≥ 0 (t)</t>
        </is>
      </c>
      <c r="C32" s="22">
        <f>IF(COUNTIF(C25:K25,"&gt;=0")=0,"n.m.",INDEX(C23:K23,1,MATCH(TRUE,INDEX(C25:K25&gt;=0,0),0)))</f>
        <v/>
      </c>
    </row>
    <row r="33">
      <c r="B33" t="inlineStr">
        <is>
          <t>Crossing flag sum (undiscounted)</t>
        </is>
      </c>
      <c r="C33" s="37">
        <f>SUM(C28:K28)</f>
        <v/>
      </c>
    </row>
    <row r="34">
      <c r="B34" t="inlineStr">
        <is>
          <t>Crossing flag sum (discounted)</t>
        </is>
      </c>
      <c r="C34" s="37">
        <f>SUM(C29:K29)</f>
        <v/>
      </c>
    </row>
    <row r="36">
      <c r="B36" t="inlineStr">
        <is>
          <t>Undiscounted payback (years)</t>
        </is>
      </c>
      <c r="C36" s="35">
        <f>IF(K25&lt;0,NA(),IF(C25&gt;=0,0,C33))</f>
        <v/>
      </c>
    </row>
    <row r="37">
      <c r="B37" t="inlineStr">
        <is>
          <t>Discounted payback (years)</t>
        </is>
      </c>
      <c r="C37" s="35">
        <f>IF(K27&lt;0,NA(),IF(C27&gt;=0,0,C34))</f>
        <v/>
      </c>
    </row>
    <row r="39">
      <c r="B39" s="2" t="inlineStr">
        <is>
          <t>Annual unlevered FCF and cumulative ($000s)</t>
        </is>
      </c>
    </row>
    <row r="42">
      <c r="B42" s="12" t="inlineStr">
        <is>
          <t>(alias for C13)</t>
        </is>
      </c>
      <c r="C42" s="38">
        <f>C36</f>
        <v/>
      </c>
    </row>
    <row r="48">
      <c r="B48" s="12" t="inlineStr">
        <is>
          <t>(alias for C14)</t>
        </is>
      </c>
      <c r="C48" s="38">
        <f>C37</f>
        <v/>
      </c>
    </row>
    <row r="82">
      <c r="B82" s="30" t="inlineStr">
        <is>
          <t>Payback is interpolated in the crossing year: t_prior + |cumulative_prior| / FCF_crossing. n.m. if cumulative never turns positive.</t>
        </is>
      </c>
    </row>
  </sheetData>
  <mergeCells count="2">
    <mergeCell ref="C19:G19"/>
    <mergeCell ref="C18:G18"/>
  </mergeCells>
  <conditionalFormatting sqref="C6">
    <cfRule type="cellIs" priority="1" operator="lessThan" dxfId="0">
      <formula>0</formula>
    </cfRule>
  </conditionalFormatting>
  <conditionalFormatting sqref="C9">
    <cfRule type="cellIs" priority="2" operator="lessThan" dxfId="0">
      <formula>0</formula>
    </cfRule>
  </conditionalFormatting>
  <pageMargins left="0.75" right="0.75" top="1" bottom="1" header="0.5" footer="0.5"/>
  <pageSetup orientation="landscape" paperSize="3" fitToHeight="0" fitToWidth="1"/>
  <headerFooter>
    <oddHeader/>
    <oddFooter>&amp;LNorthline Consumer Products  |  fictional sample  |  $000s&amp;RPage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C65911"/>
    <outlinePr summaryBelow="1" summaryRight="1"/>
    <pageSetUpPr fitToPage="1"/>
  </sheetPr>
  <dimension ref="B2:K46"/>
  <sheetViews>
    <sheetView showGridLines="0" workbookViewId="0">
      <selection activeCell="A1" sqref="A1"/>
    </sheetView>
  </sheetViews>
  <sheetFormatPr baseColWidth="8" defaultRowHeight="15"/>
  <cols>
    <col width="4"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2">
      <c r="B2" s="1" t="inlineStr">
        <is>
          <t>Sensitivity</t>
        </is>
      </c>
    </row>
    <row r="3">
      <c r="B3" s="3" t="inlineStr">
        <is>
          <t>WACC one-way uses the live FCF strip. Volume two-way rebuilds FCF (volume-driven lines × factor; savings, capex, G&amp;A, D&amp;A held at the current case).</t>
        </is>
      </c>
    </row>
    <row r="5">
      <c r="B5" s="8" t="inlineStr">
        <is>
          <t>Base case (current scenario)</t>
        </is>
      </c>
      <c r="C5" s="9" t="n"/>
      <c r="D5" s="9" t="n"/>
      <c r="E5" s="9" t="n"/>
    </row>
    <row r="6">
      <c r="B6" t="inlineStr">
        <is>
          <t>NPV</t>
        </is>
      </c>
      <c r="C6" s="25">
        <f>'03_Returns'!C6</f>
        <v/>
      </c>
    </row>
    <row r="7">
      <c r="B7" t="inlineStr">
        <is>
          <t>IRR</t>
        </is>
      </c>
      <c r="C7" s="31">
        <f>'03_Returns'!C7</f>
        <v/>
      </c>
    </row>
    <row r="8">
      <c r="B8" t="inlineStr">
        <is>
          <t>WACC</t>
        </is>
      </c>
      <c r="C8" s="33">
        <f>'01_Assumptions'!C25</f>
        <v/>
      </c>
    </row>
    <row r="10">
      <c r="B10" s="8" t="inlineStr">
        <is>
          <t>One-way — NPV vs WACC (live FCF strip)</t>
        </is>
      </c>
      <c r="C10" s="9" t="n"/>
      <c r="D10" s="9" t="n"/>
      <c r="E10" s="9" t="n"/>
      <c r="F10" s="9" t="n"/>
      <c r="G10" s="9" t="n"/>
      <c r="H10" s="9" t="n"/>
    </row>
    <row r="11">
      <c r="B11" s="14" t="inlineStr">
        <is>
          <t>WACC</t>
        </is>
      </c>
      <c r="C11" s="14" t="inlineStr">
        <is>
          <t>NPV ($000s)</t>
        </is>
      </c>
      <c r="D11" s="14" t="inlineStr">
        <is>
          <t>vs base</t>
        </is>
      </c>
    </row>
    <row r="12">
      <c r="B12" s="20" t="n">
        <v>0.07000000000000001</v>
      </c>
      <c r="C12" s="24">
        <f>NPV(B12,'02_Cash_Flows'!D29:K29)+'02_Cash_Flows'!C29</f>
        <v/>
      </c>
      <c r="D12" s="24">
        <f>C12-$C$6</f>
        <v/>
      </c>
    </row>
    <row r="13">
      <c r="B13" s="20" t="n">
        <v>0.08</v>
      </c>
      <c r="C13" s="24">
        <f>NPV(B13,'02_Cash_Flows'!D29:K29)+'02_Cash_Flows'!C29</f>
        <v/>
      </c>
      <c r="D13" s="24">
        <f>C13-$C$6</f>
        <v/>
      </c>
    </row>
    <row r="14">
      <c r="B14" s="20" t="n">
        <v>0.095</v>
      </c>
      <c r="C14" s="25">
        <f>NPV(B14,'02_Cash_Flows'!D29:K29)+'02_Cash_Flows'!C29</f>
        <v/>
      </c>
      <c r="D14" s="24">
        <f>C14-$C$6</f>
        <v/>
      </c>
    </row>
    <row r="15">
      <c r="B15" s="20" t="n">
        <v>0.11</v>
      </c>
      <c r="C15" s="24">
        <f>NPV(B15,'02_Cash_Flows'!D29:K29)+'02_Cash_Flows'!C29</f>
        <v/>
      </c>
      <c r="D15" s="24">
        <f>C15-$C$6</f>
        <v/>
      </c>
    </row>
    <row r="16">
      <c r="B16" s="20" t="n">
        <v>0.125</v>
      </c>
      <c r="C16" s="24">
        <f>NPV(B16,'02_Cash_Flows'!D29:K29)+'02_Cash_Flows'!C29</f>
        <v/>
      </c>
      <c r="D16" s="24">
        <f>C16-$C$6</f>
        <v/>
      </c>
    </row>
    <row r="19">
      <c r="B19" s="8" t="inlineStr">
        <is>
          <t>Two-way engine — FCF by volume factor (current case = 100%)</t>
        </is>
      </c>
      <c r="C19" s="9" t="n"/>
      <c r="D19" s="9" t="n"/>
      <c r="E19" s="9" t="n"/>
      <c r="F19" s="9" t="n"/>
      <c r="G19" s="9" t="n"/>
      <c r="H19" s="9" t="n"/>
      <c r="I19" s="9" t="n"/>
      <c r="J19" s="9" t="n"/>
      <c r="K19" s="9" t="n"/>
    </row>
    <row r="20">
      <c r="B20" s="14" t="inlineStr">
        <is>
          <t>Volume factor \ Year</t>
        </is>
      </c>
      <c r="C20" s="14" t="inlineStr">
        <is>
          <t>2026</t>
        </is>
      </c>
      <c r="D20" s="14" t="inlineStr">
        <is>
          <t>2027</t>
        </is>
      </c>
      <c r="E20" s="14" t="inlineStr">
        <is>
          <t>2028</t>
        </is>
      </c>
      <c r="F20" s="14" t="inlineStr">
        <is>
          <t>2029</t>
        </is>
      </c>
      <c r="G20" s="14" t="inlineStr">
        <is>
          <t>2030</t>
        </is>
      </c>
      <c r="H20" s="14" t="inlineStr">
        <is>
          <t>2031</t>
        </is>
      </c>
      <c r="I20" s="14" t="inlineStr">
        <is>
          <t>2032</t>
        </is>
      </c>
      <c r="J20" s="14" t="inlineStr">
        <is>
          <t>2033</t>
        </is>
      </c>
      <c r="K20" s="14" t="inlineStr">
        <is>
          <t>2034</t>
        </is>
      </c>
    </row>
    <row r="21">
      <c r="B21" s="20" t="n">
        <v>0.8</v>
      </c>
      <c r="C21" s="24">
        <f>($B21*'02_Cash_Flows'!C11+'02_Cash_Flows'!C12-$B21*'02_Cash_Flows'!C13-'02_Cash_Flows'!C14-'02_Cash_Flows'!C16)*(1-'01_Assumptions'!$C$26)+'02_Cash_Flows'!C16-'02_Cash_Flows'!C24-'02_Cash_Flows'!C25-(IF('02_Cash_Flows'!C6&gt;='01_Assumptions'!$C$27,0,'01_Assumptions'!$C$29*$B21*'02_Cash_Flows'!C10))+'02_Cash_Flows'!C28</f>
        <v/>
      </c>
      <c r="D21" s="24">
        <f>($B21*'02_Cash_Flows'!D11+'02_Cash_Flows'!D12-$B21*'02_Cash_Flows'!D13-'02_Cash_Flows'!D14-'02_Cash_Flows'!D16)*(1-'01_Assumptions'!$C$26)+'02_Cash_Flows'!D16-'02_Cash_Flows'!D24-'02_Cash_Flows'!D25-((IF('02_Cash_Flows'!D6&gt;='01_Assumptions'!$C$27,0,'01_Assumptions'!$C$29*$B21*'02_Cash_Flows'!D10))-(IF('02_Cash_Flows'!C6&gt;='01_Assumptions'!$C$27,0,'01_Assumptions'!$C$29*$B21*'02_Cash_Flows'!C10)))+'02_Cash_Flows'!D28</f>
        <v/>
      </c>
      <c r="E21" s="24">
        <f>($B21*'02_Cash_Flows'!E11+'02_Cash_Flows'!E12-$B21*'02_Cash_Flows'!E13-'02_Cash_Flows'!E14-'02_Cash_Flows'!E16)*(1-'01_Assumptions'!$C$26)+'02_Cash_Flows'!E16-'02_Cash_Flows'!E24-'02_Cash_Flows'!E25-((IF('02_Cash_Flows'!E6&gt;='01_Assumptions'!$C$27,0,'01_Assumptions'!$C$29*$B21*'02_Cash_Flows'!E10))-(IF('02_Cash_Flows'!D6&gt;='01_Assumptions'!$C$27,0,'01_Assumptions'!$C$29*$B21*'02_Cash_Flows'!D10)))+'02_Cash_Flows'!E28</f>
        <v/>
      </c>
      <c r="F21" s="24">
        <f>($B21*'02_Cash_Flows'!F11+'02_Cash_Flows'!F12-$B21*'02_Cash_Flows'!F13-'02_Cash_Flows'!F14-'02_Cash_Flows'!F16)*(1-'01_Assumptions'!$C$26)+'02_Cash_Flows'!F16-'02_Cash_Flows'!F24-'02_Cash_Flows'!F25-((IF('02_Cash_Flows'!F6&gt;='01_Assumptions'!$C$27,0,'01_Assumptions'!$C$29*$B21*'02_Cash_Flows'!F10))-(IF('02_Cash_Flows'!E6&gt;='01_Assumptions'!$C$27,0,'01_Assumptions'!$C$29*$B21*'02_Cash_Flows'!E10)))+'02_Cash_Flows'!F28</f>
        <v/>
      </c>
      <c r="G21" s="24">
        <f>($B21*'02_Cash_Flows'!G11+'02_Cash_Flows'!G12-$B21*'02_Cash_Flows'!G13-'02_Cash_Flows'!G14-'02_Cash_Flows'!G16)*(1-'01_Assumptions'!$C$26)+'02_Cash_Flows'!G16-'02_Cash_Flows'!G24-'02_Cash_Flows'!G25-((IF('02_Cash_Flows'!G6&gt;='01_Assumptions'!$C$27,0,'01_Assumptions'!$C$29*$B21*'02_Cash_Flows'!G10))-(IF('02_Cash_Flows'!F6&gt;='01_Assumptions'!$C$27,0,'01_Assumptions'!$C$29*$B21*'02_Cash_Flows'!F10)))+'02_Cash_Flows'!G28</f>
        <v/>
      </c>
      <c r="H21" s="24">
        <f>($B21*'02_Cash_Flows'!H11+'02_Cash_Flows'!H12-$B21*'02_Cash_Flows'!H13-'02_Cash_Flows'!H14-'02_Cash_Flows'!H16)*(1-'01_Assumptions'!$C$26)+'02_Cash_Flows'!H16-'02_Cash_Flows'!H24-'02_Cash_Flows'!H25-((IF('02_Cash_Flows'!H6&gt;='01_Assumptions'!$C$27,0,'01_Assumptions'!$C$29*$B21*'02_Cash_Flows'!H10))-(IF('02_Cash_Flows'!G6&gt;='01_Assumptions'!$C$27,0,'01_Assumptions'!$C$29*$B21*'02_Cash_Flows'!G10)))+'02_Cash_Flows'!H28</f>
        <v/>
      </c>
      <c r="I21" s="24">
        <f>($B21*'02_Cash_Flows'!I11+'02_Cash_Flows'!I12-$B21*'02_Cash_Flows'!I13-'02_Cash_Flows'!I14-'02_Cash_Flows'!I16)*(1-'01_Assumptions'!$C$26)+'02_Cash_Flows'!I16-'02_Cash_Flows'!I24-'02_Cash_Flows'!I25-((IF('02_Cash_Flows'!I6&gt;='01_Assumptions'!$C$27,0,'01_Assumptions'!$C$29*$B21*'02_Cash_Flows'!I10))-(IF('02_Cash_Flows'!H6&gt;='01_Assumptions'!$C$27,0,'01_Assumptions'!$C$29*$B21*'02_Cash_Flows'!H10)))+'02_Cash_Flows'!I28</f>
        <v/>
      </c>
      <c r="J21" s="24">
        <f>($B21*'02_Cash_Flows'!J11+'02_Cash_Flows'!J12-$B21*'02_Cash_Flows'!J13-'02_Cash_Flows'!J14-'02_Cash_Flows'!J16)*(1-'01_Assumptions'!$C$26)+'02_Cash_Flows'!J16-'02_Cash_Flows'!J24-'02_Cash_Flows'!J25-((IF('02_Cash_Flows'!J6&gt;='01_Assumptions'!$C$27,0,'01_Assumptions'!$C$29*$B21*'02_Cash_Flows'!J10))-(IF('02_Cash_Flows'!I6&gt;='01_Assumptions'!$C$27,0,'01_Assumptions'!$C$29*$B21*'02_Cash_Flows'!I10)))+'02_Cash_Flows'!J28</f>
        <v/>
      </c>
      <c r="K21" s="24">
        <f>($B21*'02_Cash_Flows'!K11+'02_Cash_Flows'!K12-$B21*'02_Cash_Flows'!K13-'02_Cash_Flows'!K14-'02_Cash_Flows'!K16)*(1-'01_Assumptions'!$C$26)+'02_Cash_Flows'!K16-'02_Cash_Flows'!K24-'02_Cash_Flows'!K25-((IF('02_Cash_Flows'!K6&gt;='01_Assumptions'!$C$27,0,'01_Assumptions'!$C$29*$B21*'02_Cash_Flows'!K10))-(IF('02_Cash_Flows'!J6&gt;='01_Assumptions'!$C$27,0,'01_Assumptions'!$C$29*$B21*'02_Cash_Flows'!J10)))+'02_Cash_Flows'!K28</f>
        <v/>
      </c>
    </row>
    <row r="22">
      <c r="B22" s="20" t="n">
        <v>0.9</v>
      </c>
      <c r="C22" s="24">
        <f>($B22*'02_Cash_Flows'!C11+'02_Cash_Flows'!C12-$B22*'02_Cash_Flows'!C13-'02_Cash_Flows'!C14-'02_Cash_Flows'!C16)*(1-'01_Assumptions'!$C$26)+'02_Cash_Flows'!C16-'02_Cash_Flows'!C24-'02_Cash_Flows'!C25-(IF('02_Cash_Flows'!C6&gt;='01_Assumptions'!$C$27,0,'01_Assumptions'!$C$29*$B22*'02_Cash_Flows'!C10))+'02_Cash_Flows'!C28</f>
        <v/>
      </c>
      <c r="D22" s="24">
        <f>($B22*'02_Cash_Flows'!D11+'02_Cash_Flows'!D12-$B22*'02_Cash_Flows'!D13-'02_Cash_Flows'!D14-'02_Cash_Flows'!D16)*(1-'01_Assumptions'!$C$26)+'02_Cash_Flows'!D16-'02_Cash_Flows'!D24-'02_Cash_Flows'!D25-((IF('02_Cash_Flows'!D6&gt;='01_Assumptions'!$C$27,0,'01_Assumptions'!$C$29*$B22*'02_Cash_Flows'!D10))-(IF('02_Cash_Flows'!C6&gt;='01_Assumptions'!$C$27,0,'01_Assumptions'!$C$29*$B22*'02_Cash_Flows'!C10)))+'02_Cash_Flows'!D28</f>
        <v/>
      </c>
      <c r="E22" s="24">
        <f>($B22*'02_Cash_Flows'!E11+'02_Cash_Flows'!E12-$B22*'02_Cash_Flows'!E13-'02_Cash_Flows'!E14-'02_Cash_Flows'!E16)*(1-'01_Assumptions'!$C$26)+'02_Cash_Flows'!E16-'02_Cash_Flows'!E24-'02_Cash_Flows'!E25-((IF('02_Cash_Flows'!E6&gt;='01_Assumptions'!$C$27,0,'01_Assumptions'!$C$29*$B22*'02_Cash_Flows'!E10))-(IF('02_Cash_Flows'!D6&gt;='01_Assumptions'!$C$27,0,'01_Assumptions'!$C$29*$B22*'02_Cash_Flows'!D10)))+'02_Cash_Flows'!E28</f>
        <v/>
      </c>
      <c r="F22" s="24">
        <f>($B22*'02_Cash_Flows'!F11+'02_Cash_Flows'!F12-$B22*'02_Cash_Flows'!F13-'02_Cash_Flows'!F14-'02_Cash_Flows'!F16)*(1-'01_Assumptions'!$C$26)+'02_Cash_Flows'!F16-'02_Cash_Flows'!F24-'02_Cash_Flows'!F25-((IF('02_Cash_Flows'!F6&gt;='01_Assumptions'!$C$27,0,'01_Assumptions'!$C$29*$B22*'02_Cash_Flows'!F10))-(IF('02_Cash_Flows'!E6&gt;='01_Assumptions'!$C$27,0,'01_Assumptions'!$C$29*$B22*'02_Cash_Flows'!E10)))+'02_Cash_Flows'!F28</f>
        <v/>
      </c>
      <c r="G22" s="24">
        <f>($B22*'02_Cash_Flows'!G11+'02_Cash_Flows'!G12-$B22*'02_Cash_Flows'!G13-'02_Cash_Flows'!G14-'02_Cash_Flows'!G16)*(1-'01_Assumptions'!$C$26)+'02_Cash_Flows'!G16-'02_Cash_Flows'!G24-'02_Cash_Flows'!G25-((IF('02_Cash_Flows'!G6&gt;='01_Assumptions'!$C$27,0,'01_Assumptions'!$C$29*$B22*'02_Cash_Flows'!G10))-(IF('02_Cash_Flows'!F6&gt;='01_Assumptions'!$C$27,0,'01_Assumptions'!$C$29*$B22*'02_Cash_Flows'!F10)))+'02_Cash_Flows'!G28</f>
        <v/>
      </c>
      <c r="H22" s="24">
        <f>($B22*'02_Cash_Flows'!H11+'02_Cash_Flows'!H12-$B22*'02_Cash_Flows'!H13-'02_Cash_Flows'!H14-'02_Cash_Flows'!H16)*(1-'01_Assumptions'!$C$26)+'02_Cash_Flows'!H16-'02_Cash_Flows'!H24-'02_Cash_Flows'!H25-((IF('02_Cash_Flows'!H6&gt;='01_Assumptions'!$C$27,0,'01_Assumptions'!$C$29*$B22*'02_Cash_Flows'!H10))-(IF('02_Cash_Flows'!G6&gt;='01_Assumptions'!$C$27,0,'01_Assumptions'!$C$29*$B22*'02_Cash_Flows'!G10)))+'02_Cash_Flows'!H28</f>
        <v/>
      </c>
      <c r="I22" s="24">
        <f>($B22*'02_Cash_Flows'!I11+'02_Cash_Flows'!I12-$B22*'02_Cash_Flows'!I13-'02_Cash_Flows'!I14-'02_Cash_Flows'!I16)*(1-'01_Assumptions'!$C$26)+'02_Cash_Flows'!I16-'02_Cash_Flows'!I24-'02_Cash_Flows'!I25-((IF('02_Cash_Flows'!I6&gt;='01_Assumptions'!$C$27,0,'01_Assumptions'!$C$29*$B22*'02_Cash_Flows'!I10))-(IF('02_Cash_Flows'!H6&gt;='01_Assumptions'!$C$27,0,'01_Assumptions'!$C$29*$B22*'02_Cash_Flows'!H10)))+'02_Cash_Flows'!I28</f>
        <v/>
      </c>
      <c r="J22" s="24">
        <f>($B22*'02_Cash_Flows'!J11+'02_Cash_Flows'!J12-$B22*'02_Cash_Flows'!J13-'02_Cash_Flows'!J14-'02_Cash_Flows'!J16)*(1-'01_Assumptions'!$C$26)+'02_Cash_Flows'!J16-'02_Cash_Flows'!J24-'02_Cash_Flows'!J25-((IF('02_Cash_Flows'!J6&gt;='01_Assumptions'!$C$27,0,'01_Assumptions'!$C$29*$B22*'02_Cash_Flows'!J10))-(IF('02_Cash_Flows'!I6&gt;='01_Assumptions'!$C$27,0,'01_Assumptions'!$C$29*$B22*'02_Cash_Flows'!I10)))+'02_Cash_Flows'!J28</f>
        <v/>
      </c>
      <c r="K22" s="24">
        <f>($B22*'02_Cash_Flows'!K11+'02_Cash_Flows'!K12-$B22*'02_Cash_Flows'!K13-'02_Cash_Flows'!K14-'02_Cash_Flows'!K16)*(1-'01_Assumptions'!$C$26)+'02_Cash_Flows'!K16-'02_Cash_Flows'!K24-'02_Cash_Flows'!K25-((IF('02_Cash_Flows'!K6&gt;='01_Assumptions'!$C$27,0,'01_Assumptions'!$C$29*$B22*'02_Cash_Flows'!K10))-(IF('02_Cash_Flows'!J6&gt;='01_Assumptions'!$C$27,0,'01_Assumptions'!$C$29*$B22*'02_Cash_Flows'!J10)))+'02_Cash_Flows'!K28</f>
        <v/>
      </c>
    </row>
    <row r="23">
      <c r="B23" s="20" t="n">
        <v>1</v>
      </c>
      <c r="C23" s="25">
        <f>($B23*'02_Cash_Flows'!C11+'02_Cash_Flows'!C12-$B23*'02_Cash_Flows'!C13-'02_Cash_Flows'!C14-'02_Cash_Flows'!C16)*(1-'01_Assumptions'!$C$26)+'02_Cash_Flows'!C16-'02_Cash_Flows'!C24-'02_Cash_Flows'!C25-(IF('02_Cash_Flows'!C6&gt;='01_Assumptions'!$C$27,0,'01_Assumptions'!$C$29*$B23*'02_Cash_Flows'!C10))+'02_Cash_Flows'!C28</f>
        <v/>
      </c>
      <c r="D23" s="25">
        <f>($B23*'02_Cash_Flows'!D11+'02_Cash_Flows'!D12-$B23*'02_Cash_Flows'!D13-'02_Cash_Flows'!D14-'02_Cash_Flows'!D16)*(1-'01_Assumptions'!$C$26)+'02_Cash_Flows'!D16-'02_Cash_Flows'!D24-'02_Cash_Flows'!D25-((IF('02_Cash_Flows'!D6&gt;='01_Assumptions'!$C$27,0,'01_Assumptions'!$C$29*$B23*'02_Cash_Flows'!D10))-(IF('02_Cash_Flows'!C6&gt;='01_Assumptions'!$C$27,0,'01_Assumptions'!$C$29*$B23*'02_Cash_Flows'!C10)))+'02_Cash_Flows'!D28</f>
        <v/>
      </c>
      <c r="E23" s="25">
        <f>($B23*'02_Cash_Flows'!E11+'02_Cash_Flows'!E12-$B23*'02_Cash_Flows'!E13-'02_Cash_Flows'!E14-'02_Cash_Flows'!E16)*(1-'01_Assumptions'!$C$26)+'02_Cash_Flows'!E16-'02_Cash_Flows'!E24-'02_Cash_Flows'!E25-((IF('02_Cash_Flows'!E6&gt;='01_Assumptions'!$C$27,0,'01_Assumptions'!$C$29*$B23*'02_Cash_Flows'!E10))-(IF('02_Cash_Flows'!D6&gt;='01_Assumptions'!$C$27,0,'01_Assumptions'!$C$29*$B23*'02_Cash_Flows'!D10)))+'02_Cash_Flows'!E28</f>
        <v/>
      </c>
      <c r="F23" s="25">
        <f>($B23*'02_Cash_Flows'!F11+'02_Cash_Flows'!F12-$B23*'02_Cash_Flows'!F13-'02_Cash_Flows'!F14-'02_Cash_Flows'!F16)*(1-'01_Assumptions'!$C$26)+'02_Cash_Flows'!F16-'02_Cash_Flows'!F24-'02_Cash_Flows'!F25-((IF('02_Cash_Flows'!F6&gt;='01_Assumptions'!$C$27,0,'01_Assumptions'!$C$29*$B23*'02_Cash_Flows'!F10))-(IF('02_Cash_Flows'!E6&gt;='01_Assumptions'!$C$27,0,'01_Assumptions'!$C$29*$B23*'02_Cash_Flows'!E10)))+'02_Cash_Flows'!F28</f>
        <v/>
      </c>
      <c r="G23" s="25">
        <f>($B23*'02_Cash_Flows'!G11+'02_Cash_Flows'!G12-$B23*'02_Cash_Flows'!G13-'02_Cash_Flows'!G14-'02_Cash_Flows'!G16)*(1-'01_Assumptions'!$C$26)+'02_Cash_Flows'!G16-'02_Cash_Flows'!G24-'02_Cash_Flows'!G25-((IF('02_Cash_Flows'!G6&gt;='01_Assumptions'!$C$27,0,'01_Assumptions'!$C$29*$B23*'02_Cash_Flows'!G10))-(IF('02_Cash_Flows'!F6&gt;='01_Assumptions'!$C$27,0,'01_Assumptions'!$C$29*$B23*'02_Cash_Flows'!F10)))+'02_Cash_Flows'!G28</f>
        <v/>
      </c>
      <c r="H23" s="25">
        <f>($B23*'02_Cash_Flows'!H11+'02_Cash_Flows'!H12-$B23*'02_Cash_Flows'!H13-'02_Cash_Flows'!H14-'02_Cash_Flows'!H16)*(1-'01_Assumptions'!$C$26)+'02_Cash_Flows'!H16-'02_Cash_Flows'!H24-'02_Cash_Flows'!H25-((IF('02_Cash_Flows'!H6&gt;='01_Assumptions'!$C$27,0,'01_Assumptions'!$C$29*$B23*'02_Cash_Flows'!H10))-(IF('02_Cash_Flows'!G6&gt;='01_Assumptions'!$C$27,0,'01_Assumptions'!$C$29*$B23*'02_Cash_Flows'!G10)))+'02_Cash_Flows'!H28</f>
        <v/>
      </c>
      <c r="I23" s="25">
        <f>($B23*'02_Cash_Flows'!I11+'02_Cash_Flows'!I12-$B23*'02_Cash_Flows'!I13-'02_Cash_Flows'!I14-'02_Cash_Flows'!I16)*(1-'01_Assumptions'!$C$26)+'02_Cash_Flows'!I16-'02_Cash_Flows'!I24-'02_Cash_Flows'!I25-((IF('02_Cash_Flows'!I6&gt;='01_Assumptions'!$C$27,0,'01_Assumptions'!$C$29*$B23*'02_Cash_Flows'!I10))-(IF('02_Cash_Flows'!H6&gt;='01_Assumptions'!$C$27,0,'01_Assumptions'!$C$29*$B23*'02_Cash_Flows'!H10)))+'02_Cash_Flows'!I28</f>
        <v/>
      </c>
      <c r="J23" s="25">
        <f>($B23*'02_Cash_Flows'!J11+'02_Cash_Flows'!J12-$B23*'02_Cash_Flows'!J13-'02_Cash_Flows'!J14-'02_Cash_Flows'!J16)*(1-'01_Assumptions'!$C$26)+'02_Cash_Flows'!J16-'02_Cash_Flows'!J24-'02_Cash_Flows'!J25-((IF('02_Cash_Flows'!J6&gt;='01_Assumptions'!$C$27,0,'01_Assumptions'!$C$29*$B23*'02_Cash_Flows'!J10))-(IF('02_Cash_Flows'!I6&gt;='01_Assumptions'!$C$27,0,'01_Assumptions'!$C$29*$B23*'02_Cash_Flows'!I10)))+'02_Cash_Flows'!J28</f>
        <v/>
      </c>
      <c r="K23" s="25">
        <f>($B23*'02_Cash_Flows'!K11+'02_Cash_Flows'!K12-$B23*'02_Cash_Flows'!K13-'02_Cash_Flows'!K14-'02_Cash_Flows'!K16)*(1-'01_Assumptions'!$C$26)+'02_Cash_Flows'!K16-'02_Cash_Flows'!K24-'02_Cash_Flows'!K25-((IF('02_Cash_Flows'!K6&gt;='01_Assumptions'!$C$27,0,'01_Assumptions'!$C$29*$B23*'02_Cash_Flows'!K10))-(IF('02_Cash_Flows'!J6&gt;='01_Assumptions'!$C$27,0,'01_Assumptions'!$C$29*$B23*'02_Cash_Flows'!J10)))+'02_Cash_Flows'!K28</f>
        <v/>
      </c>
    </row>
    <row r="24">
      <c r="B24" s="20" t="n">
        <v>1.1</v>
      </c>
      <c r="C24" s="24">
        <f>($B24*'02_Cash_Flows'!C11+'02_Cash_Flows'!C12-$B24*'02_Cash_Flows'!C13-'02_Cash_Flows'!C14-'02_Cash_Flows'!C16)*(1-'01_Assumptions'!$C$26)+'02_Cash_Flows'!C16-'02_Cash_Flows'!C24-'02_Cash_Flows'!C25-(IF('02_Cash_Flows'!C6&gt;='01_Assumptions'!$C$27,0,'01_Assumptions'!$C$29*$B24*'02_Cash_Flows'!C10))+'02_Cash_Flows'!C28</f>
        <v/>
      </c>
      <c r="D24" s="24">
        <f>($B24*'02_Cash_Flows'!D11+'02_Cash_Flows'!D12-$B24*'02_Cash_Flows'!D13-'02_Cash_Flows'!D14-'02_Cash_Flows'!D16)*(1-'01_Assumptions'!$C$26)+'02_Cash_Flows'!D16-'02_Cash_Flows'!D24-'02_Cash_Flows'!D25-((IF('02_Cash_Flows'!D6&gt;='01_Assumptions'!$C$27,0,'01_Assumptions'!$C$29*$B24*'02_Cash_Flows'!D10))-(IF('02_Cash_Flows'!C6&gt;='01_Assumptions'!$C$27,0,'01_Assumptions'!$C$29*$B24*'02_Cash_Flows'!C10)))+'02_Cash_Flows'!D28</f>
        <v/>
      </c>
      <c r="E24" s="24">
        <f>($B24*'02_Cash_Flows'!E11+'02_Cash_Flows'!E12-$B24*'02_Cash_Flows'!E13-'02_Cash_Flows'!E14-'02_Cash_Flows'!E16)*(1-'01_Assumptions'!$C$26)+'02_Cash_Flows'!E16-'02_Cash_Flows'!E24-'02_Cash_Flows'!E25-((IF('02_Cash_Flows'!E6&gt;='01_Assumptions'!$C$27,0,'01_Assumptions'!$C$29*$B24*'02_Cash_Flows'!E10))-(IF('02_Cash_Flows'!D6&gt;='01_Assumptions'!$C$27,0,'01_Assumptions'!$C$29*$B24*'02_Cash_Flows'!D10)))+'02_Cash_Flows'!E28</f>
        <v/>
      </c>
      <c r="F24" s="24">
        <f>($B24*'02_Cash_Flows'!F11+'02_Cash_Flows'!F12-$B24*'02_Cash_Flows'!F13-'02_Cash_Flows'!F14-'02_Cash_Flows'!F16)*(1-'01_Assumptions'!$C$26)+'02_Cash_Flows'!F16-'02_Cash_Flows'!F24-'02_Cash_Flows'!F25-((IF('02_Cash_Flows'!F6&gt;='01_Assumptions'!$C$27,0,'01_Assumptions'!$C$29*$B24*'02_Cash_Flows'!F10))-(IF('02_Cash_Flows'!E6&gt;='01_Assumptions'!$C$27,0,'01_Assumptions'!$C$29*$B24*'02_Cash_Flows'!E10)))+'02_Cash_Flows'!F28</f>
        <v/>
      </c>
      <c r="G24" s="24">
        <f>($B24*'02_Cash_Flows'!G11+'02_Cash_Flows'!G12-$B24*'02_Cash_Flows'!G13-'02_Cash_Flows'!G14-'02_Cash_Flows'!G16)*(1-'01_Assumptions'!$C$26)+'02_Cash_Flows'!G16-'02_Cash_Flows'!G24-'02_Cash_Flows'!G25-((IF('02_Cash_Flows'!G6&gt;='01_Assumptions'!$C$27,0,'01_Assumptions'!$C$29*$B24*'02_Cash_Flows'!G10))-(IF('02_Cash_Flows'!F6&gt;='01_Assumptions'!$C$27,0,'01_Assumptions'!$C$29*$B24*'02_Cash_Flows'!F10)))+'02_Cash_Flows'!G28</f>
        <v/>
      </c>
      <c r="H24" s="24">
        <f>($B24*'02_Cash_Flows'!H11+'02_Cash_Flows'!H12-$B24*'02_Cash_Flows'!H13-'02_Cash_Flows'!H14-'02_Cash_Flows'!H16)*(1-'01_Assumptions'!$C$26)+'02_Cash_Flows'!H16-'02_Cash_Flows'!H24-'02_Cash_Flows'!H25-((IF('02_Cash_Flows'!H6&gt;='01_Assumptions'!$C$27,0,'01_Assumptions'!$C$29*$B24*'02_Cash_Flows'!H10))-(IF('02_Cash_Flows'!G6&gt;='01_Assumptions'!$C$27,0,'01_Assumptions'!$C$29*$B24*'02_Cash_Flows'!G10)))+'02_Cash_Flows'!H28</f>
        <v/>
      </c>
      <c r="I24" s="24">
        <f>($B24*'02_Cash_Flows'!I11+'02_Cash_Flows'!I12-$B24*'02_Cash_Flows'!I13-'02_Cash_Flows'!I14-'02_Cash_Flows'!I16)*(1-'01_Assumptions'!$C$26)+'02_Cash_Flows'!I16-'02_Cash_Flows'!I24-'02_Cash_Flows'!I25-((IF('02_Cash_Flows'!I6&gt;='01_Assumptions'!$C$27,0,'01_Assumptions'!$C$29*$B24*'02_Cash_Flows'!I10))-(IF('02_Cash_Flows'!H6&gt;='01_Assumptions'!$C$27,0,'01_Assumptions'!$C$29*$B24*'02_Cash_Flows'!H10)))+'02_Cash_Flows'!I28</f>
        <v/>
      </c>
      <c r="J24" s="24">
        <f>($B24*'02_Cash_Flows'!J11+'02_Cash_Flows'!J12-$B24*'02_Cash_Flows'!J13-'02_Cash_Flows'!J14-'02_Cash_Flows'!J16)*(1-'01_Assumptions'!$C$26)+'02_Cash_Flows'!J16-'02_Cash_Flows'!J24-'02_Cash_Flows'!J25-((IF('02_Cash_Flows'!J6&gt;='01_Assumptions'!$C$27,0,'01_Assumptions'!$C$29*$B24*'02_Cash_Flows'!J10))-(IF('02_Cash_Flows'!I6&gt;='01_Assumptions'!$C$27,0,'01_Assumptions'!$C$29*$B24*'02_Cash_Flows'!I10)))+'02_Cash_Flows'!J28</f>
        <v/>
      </c>
      <c r="K24" s="24">
        <f>($B24*'02_Cash_Flows'!K11+'02_Cash_Flows'!K12-$B24*'02_Cash_Flows'!K13-'02_Cash_Flows'!K14-'02_Cash_Flows'!K16)*(1-'01_Assumptions'!$C$26)+'02_Cash_Flows'!K16-'02_Cash_Flows'!K24-'02_Cash_Flows'!K25-((IF('02_Cash_Flows'!K6&gt;='01_Assumptions'!$C$27,0,'01_Assumptions'!$C$29*$B24*'02_Cash_Flows'!K10))-(IF('02_Cash_Flows'!J6&gt;='01_Assumptions'!$C$27,0,'01_Assumptions'!$C$29*$B24*'02_Cash_Flows'!J10)))+'02_Cash_Flows'!K28</f>
        <v/>
      </c>
    </row>
    <row r="25">
      <c r="B25" s="20" t="n">
        <v>1.2</v>
      </c>
      <c r="C25" s="24">
        <f>($B25*'02_Cash_Flows'!C11+'02_Cash_Flows'!C12-$B25*'02_Cash_Flows'!C13-'02_Cash_Flows'!C14-'02_Cash_Flows'!C16)*(1-'01_Assumptions'!$C$26)+'02_Cash_Flows'!C16-'02_Cash_Flows'!C24-'02_Cash_Flows'!C25-(IF('02_Cash_Flows'!C6&gt;='01_Assumptions'!$C$27,0,'01_Assumptions'!$C$29*$B25*'02_Cash_Flows'!C10))+'02_Cash_Flows'!C28</f>
        <v/>
      </c>
      <c r="D25" s="24">
        <f>($B25*'02_Cash_Flows'!D11+'02_Cash_Flows'!D12-$B25*'02_Cash_Flows'!D13-'02_Cash_Flows'!D14-'02_Cash_Flows'!D16)*(1-'01_Assumptions'!$C$26)+'02_Cash_Flows'!D16-'02_Cash_Flows'!D24-'02_Cash_Flows'!D25-((IF('02_Cash_Flows'!D6&gt;='01_Assumptions'!$C$27,0,'01_Assumptions'!$C$29*$B25*'02_Cash_Flows'!D10))-(IF('02_Cash_Flows'!C6&gt;='01_Assumptions'!$C$27,0,'01_Assumptions'!$C$29*$B25*'02_Cash_Flows'!C10)))+'02_Cash_Flows'!D28</f>
        <v/>
      </c>
      <c r="E25" s="24">
        <f>($B25*'02_Cash_Flows'!E11+'02_Cash_Flows'!E12-$B25*'02_Cash_Flows'!E13-'02_Cash_Flows'!E14-'02_Cash_Flows'!E16)*(1-'01_Assumptions'!$C$26)+'02_Cash_Flows'!E16-'02_Cash_Flows'!E24-'02_Cash_Flows'!E25-((IF('02_Cash_Flows'!E6&gt;='01_Assumptions'!$C$27,0,'01_Assumptions'!$C$29*$B25*'02_Cash_Flows'!E10))-(IF('02_Cash_Flows'!D6&gt;='01_Assumptions'!$C$27,0,'01_Assumptions'!$C$29*$B25*'02_Cash_Flows'!D10)))+'02_Cash_Flows'!E28</f>
        <v/>
      </c>
      <c r="F25" s="24">
        <f>($B25*'02_Cash_Flows'!F11+'02_Cash_Flows'!F12-$B25*'02_Cash_Flows'!F13-'02_Cash_Flows'!F14-'02_Cash_Flows'!F16)*(1-'01_Assumptions'!$C$26)+'02_Cash_Flows'!F16-'02_Cash_Flows'!F24-'02_Cash_Flows'!F25-((IF('02_Cash_Flows'!F6&gt;='01_Assumptions'!$C$27,0,'01_Assumptions'!$C$29*$B25*'02_Cash_Flows'!F10))-(IF('02_Cash_Flows'!E6&gt;='01_Assumptions'!$C$27,0,'01_Assumptions'!$C$29*$B25*'02_Cash_Flows'!E10)))+'02_Cash_Flows'!F28</f>
        <v/>
      </c>
      <c r="G25" s="24">
        <f>($B25*'02_Cash_Flows'!G11+'02_Cash_Flows'!G12-$B25*'02_Cash_Flows'!G13-'02_Cash_Flows'!G14-'02_Cash_Flows'!G16)*(1-'01_Assumptions'!$C$26)+'02_Cash_Flows'!G16-'02_Cash_Flows'!G24-'02_Cash_Flows'!G25-((IF('02_Cash_Flows'!G6&gt;='01_Assumptions'!$C$27,0,'01_Assumptions'!$C$29*$B25*'02_Cash_Flows'!G10))-(IF('02_Cash_Flows'!F6&gt;='01_Assumptions'!$C$27,0,'01_Assumptions'!$C$29*$B25*'02_Cash_Flows'!F10)))+'02_Cash_Flows'!G28</f>
        <v/>
      </c>
      <c r="H25" s="24">
        <f>($B25*'02_Cash_Flows'!H11+'02_Cash_Flows'!H12-$B25*'02_Cash_Flows'!H13-'02_Cash_Flows'!H14-'02_Cash_Flows'!H16)*(1-'01_Assumptions'!$C$26)+'02_Cash_Flows'!H16-'02_Cash_Flows'!H24-'02_Cash_Flows'!H25-((IF('02_Cash_Flows'!H6&gt;='01_Assumptions'!$C$27,0,'01_Assumptions'!$C$29*$B25*'02_Cash_Flows'!H10))-(IF('02_Cash_Flows'!G6&gt;='01_Assumptions'!$C$27,0,'01_Assumptions'!$C$29*$B25*'02_Cash_Flows'!G10)))+'02_Cash_Flows'!H28</f>
        <v/>
      </c>
      <c r="I25" s="24">
        <f>($B25*'02_Cash_Flows'!I11+'02_Cash_Flows'!I12-$B25*'02_Cash_Flows'!I13-'02_Cash_Flows'!I14-'02_Cash_Flows'!I16)*(1-'01_Assumptions'!$C$26)+'02_Cash_Flows'!I16-'02_Cash_Flows'!I24-'02_Cash_Flows'!I25-((IF('02_Cash_Flows'!I6&gt;='01_Assumptions'!$C$27,0,'01_Assumptions'!$C$29*$B25*'02_Cash_Flows'!I10))-(IF('02_Cash_Flows'!H6&gt;='01_Assumptions'!$C$27,0,'01_Assumptions'!$C$29*$B25*'02_Cash_Flows'!H10)))+'02_Cash_Flows'!I28</f>
        <v/>
      </c>
      <c r="J25" s="24">
        <f>($B25*'02_Cash_Flows'!J11+'02_Cash_Flows'!J12-$B25*'02_Cash_Flows'!J13-'02_Cash_Flows'!J14-'02_Cash_Flows'!J16)*(1-'01_Assumptions'!$C$26)+'02_Cash_Flows'!J16-'02_Cash_Flows'!J24-'02_Cash_Flows'!J25-((IF('02_Cash_Flows'!J6&gt;='01_Assumptions'!$C$27,0,'01_Assumptions'!$C$29*$B25*'02_Cash_Flows'!J10))-(IF('02_Cash_Flows'!I6&gt;='01_Assumptions'!$C$27,0,'01_Assumptions'!$C$29*$B25*'02_Cash_Flows'!I10)))+'02_Cash_Flows'!J28</f>
        <v/>
      </c>
      <c r="K25" s="24">
        <f>($B25*'02_Cash_Flows'!K11+'02_Cash_Flows'!K12-$B25*'02_Cash_Flows'!K13-'02_Cash_Flows'!K14-'02_Cash_Flows'!K16)*(1-'01_Assumptions'!$C$26)+'02_Cash_Flows'!K16-'02_Cash_Flows'!K24-'02_Cash_Flows'!K25-((IF('02_Cash_Flows'!K6&gt;='01_Assumptions'!$C$27,0,'01_Assumptions'!$C$29*$B25*'02_Cash_Flows'!K10))-(IF('02_Cash_Flows'!J6&gt;='01_Assumptions'!$C$27,0,'01_Assumptions'!$C$29*$B25*'02_Cash_Flows'!J10)))+'02_Cash_Flows'!K28</f>
        <v/>
      </c>
    </row>
    <row r="28">
      <c r="B28" s="8" t="inlineStr">
        <is>
          <t>Two-way — NPV ($000s): rows = WACC, columns = volume factor</t>
        </is>
      </c>
      <c r="C28" s="9" t="n"/>
      <c r="D28" s="9" t="n"/>
      <c r="E28" s="9" t="n"/>
      <c r="F28" s="9" t="n"/>
      <c r="G28" s="9" t="n"/>
      <c r="H28" s="9" t="n"/>
    </row>
    <row r="29">
      <c r="B29" s="39" t="inlineStr">
        <is>
          <t>WACC \ volume</t>
        </is>
      </c>
      <c r="C29" s="40">
        <f>B21</f>
        <v/>
      </c>
      <c r="D29" s="40">
        <f>B22</f>
        <v/>
      </c>
      <c r="E29" s="40">
        <f>B23</f>
        <v/>
      </c>
      <c r="F29" s="40">
        <f>B24</f>
        <v/>
      </c>
      <c r="G29" s="40">
        <f>B25</f>
        <v/>
      </c>
    </row>
    <row r="30">
      <c r="B30" s="41" t="n">
        <v>0.07000000000000001</v>
      </c>
      <c r="C30" s="24">
        <f>NPV($B30,D21:K21)+C21</f>
        <v/>
      </c>
      <c r="D30" s="24">
        <f>NPV($B30,D22:K22)+C22</f>
        <v/>
      </c>
      <c r="E30" s="24">
        <f>NPV($B30,D23:K23)+C23</f>
        <v/>
      </c>
      <c r="F30" s="24">
        <f>NPV($B30,D24:K24)+C24</f>
        <v/>
      </c>
      <c r="G30" s="24">
        <f>NPV($B30,D25:K25)+C25</f>
        <v/>
      </c>
    </row>
    <row r="31">
      <c r="B31" s="41" t="n">
        <v>0.08</v>
      </c>
      <c r="C31" s="24">
        <f>NPV($B31,D21:K21)+C21</f>
        <v/>
      </c>
      <c r="D31" s="24">
        <f>NPV($B31,D22:K22)+C22</f>
        <v/>
      </c>
      <c r="E31" s="24">
        <f>NPV($B31,D23:K23)+C23</f>
        <v/>
      </c>
      <c r="F31" s="24">
        <f>NPV($B31,D24:K24)+C24</f>
        <v/>
      </c>
      <c r="G31" s="24">
        <f>NPV($B31,D25:K25)+C25</f>
        <v/>
      </c>
    </row>
    <row r="32">
      <c r="B32" s="41" t="n">
        <v>0.095</v>
      </c>
      <c r="C32" s="24">
        <f>NPV($B32,D21:K21)+C21</f>
        <v/>
      </c>
      <c r="D32" s="24">
        <f>NPV($B32,D22:K22)+C22</f>
        <v/>
      </c>
      <c r="E32" s="25">
        <f>NPV($B32,D23:K23)+C23</f>
        <v/>
      </c>
      <c r="F32" s="24">
        <f>NPV($B32,D24:K24)+C24</f>
        <v/>
      </c>
      <c r="G32" s="24">
        <f>NPV($B32,D25:K25)+C25</f>
        <v/>
      </c>
    </row>
    <row r="33">
      <c r="B33" s="41" t="n">
        <v>0.11</v>
      </c>
      <c r="C33" s="24">
        <f>NPV($B33,D21:K21)+C21</f>
        <v/>
      </c>
      <c r="D33" s="24">
        <f>NPV($B33,D22:K22)+C22</f>
        <v/>
      </c>
      <c r="E33" s="24">
        <f>NPV($B33,D23:K23)+C23</f>
        <v/>
      </c>
      <c r="F33" s="24">
        <f>NPV($B33,D24:K24)+C24</f>
        <v/>
      </c>
      <c r="G33" s="24">
        <f>NPV($B33,D25:K25)+C25</f>
        <v/>
      </c>
    </row>
    <row r="34">
      <c r="B34" s="41" t="n">
        <v>0.125</v>
      </c>
      <c r="C34" s="24">
        <f>NPV($B34,D21:K21)+C21</f>
        <v/>
      </c>
      <c r="D34" s="24">
        <f>NPV($B34,D22:K22)+C22</f>
        <v/>
      </c>
      <c r="E34" s="24">
        <f>NPV($B34,D23:K23)+C23</f>
        <v/>
      </c>
      <c r="F34" s="24">
        <f>NPV($B34,D24:K24)+C24</f>
        <v/>
      </c>
      <c r="G34" s="24">
        <f>NPV($B34,D25:K25)+C25</f>
        <v/>
      </c>
    </row>
    <row r="37">
      <c r="B37" s="8" t="inlineStr">
        <is>
          <t>Tornado — NPV vs driver (low / high vs current case)</t>
        </is>
      </c>
      <c r="C37" s="9" t="n"/>
      <c r="D37" s="9" t="n"/>
      <c r="E37" s="9" t="n"/>
      <c r="F37" s="9" t="n"/>
      <c r="G37" s="9" t="n"/>
      <c r="H37" s="9" t="n"/>
    </row>
    <row r="38">
      <c r="B38" s="14" t="inlineStr">
        <is>
          <t>Driver</t>
        </is>
      </c>
      <c r="C38" s="14" t="inlineStr">
        <is>
          <t>Low</t>
        </is>
      </c>
      <c r="D38" s="14" t="inlineStr">
        <is>
          <t>High</t>
        </is>
      </c>
      <c r="E38" s="14" t="inlineStr">
        <is>
          <t>NPV low</t>
        </is>
      </c>
      <c r="F38" s="14" t="inlineStr">
        <is>
          <t>NPV high</t>
        </is>
      </c>
      <c r="G38" s="14" t="inlineStr">
        <is>
          <t>Swing (high − low)</t>
        </is>
      </c>
    </row>
    <row r="39">
      <c r="B39" s="15" t="inlineStr">
        <is>
          <t>WACC</t>
        </is>
      </c>
      <c r="C39" s="20" t="n">
        <v>0.08</v>
      </c>
      <c r="D39" s="20" t="n">
        <v>0.11</v>
      </c>
      <c r="E39" s="24">
        <f>NPV(C39,'02_Cash_Flows'!D29:K29)+'02_Cash_Flows'!C29</f>
        <v/>
      </c>
      <c r="F39" s="24">
        <f>NPV(D39,'02_Cash_Flows'!D29:K29)+'02_Cash_Flows'!C29</f>
        <v/>
      </c>
      <c r="G39" s="25">
        <f>F39-E39</f>
        <v/>
      </c>
    </row>
    <row r="40">
      <c r="B40" s="15" t="inlineStr">
        <is>
          <t>Volume factor</t>
        </is>
      </c>
      <c r="C40" s="33">
        <f>B21</f>
        <v/>
      </c>
      <c r="D40" s="33">
        <f>B25</f>
        <v/>
      </c>
      <c r="E40" s="24">
        <f>NPV('01_Assumptions'!C25,D21:K21)+C21</f>
        <v/>
      </c>
      <c r="F40" s="24">
        <f>NPV('01_Assumptions'!C25,D25:K25)+C25</f>
        <v/>
      </c>
      <c r="G40" s="25">
        <f>F40-E40</f>
        <v/>
      </c>
    </row>
    <row r="41">
      <c r="B41" s="15" t="inlineStr">
        <is>
          <t>Capex factor (vs current)</t>
        </is>
      </c>
      <c r="C41" s="28" t="n">
        <v>0.9</v>
      </c>
      <c r="D41" s="28" t="n">
        <v>1.15</v>
      </c>
      <c r="E41" s="24">
        <f>'03_Returns'!C6+(C41-1)*(SUMPRODUCT(-'02_Cash_Flows'!C24:K24+'02_Cash_Flows'!C28:K28+'02_Cash_Flows'!C16:K16*'01_Assumptions'!$C$26,'02_Cash_Flows'!C33:K33))</f>
        <v/>
      </c>
      <c r="F41" s="24">
        <f>'03_Returns'!C6+(D41-1)*(SUMPRODUCT(-'02_Cash_Flows'!C24:K24+'02_Cash_Flows'!C28:K28+'02_Cash_Flows'!C16:K16*'01_Assumptions'!$C$26,'02_Cash_Flows'!C33:K33))</f>
        <v/>
      </c>
      <c r="G41" s="25">
        <f>F41-E41</f>
        <v/>
      </c>
    </row>
    <row r="42">
      <c r="B42" s="15" t="inlineStr">
        <is>
          <t>Savings factor (vs current)</t>
        </is>
      </c>
      <c r="C42" s="20" t="n">
        <v>0.8</v>
      </c>
      <c r="D42" s="20" t="n">
        <v>1.2</v>
      </c>
      <c r="E42" s="24">
        <f>'03_Returns'!C6+(C42-1)*SUMPRODUCT('02_Cash_Flows'!C12:K12*(1-'01_Assumptions'!$C$26),'02_Cash_Flows'!C33:K33)</f>
        <v/>
      </c>
      <c r="F42" s="24">
        <f>'03_Returns'!C6+(D42-1)*SUMPRODUCT('02_Cash_Flows'!C12:K12*(1-'01_Assumptions'!$C$26),'02_Cash_Flows'!C33:K33)</f>
        <v/>
      </c>
      <c r="G42" s="25">
        <f>F42-E42</f>
        <v/>
      </c>
    </row>
    <row r="43">
      <c r="B43" s="15" t="inlineStr">
        <is>
          <t>Contribution $/case (vs current)</t>
        </is>
      </c>
      <c r="C43" s="20" t="n">
        <v>0.85</v>
      </c>
      <c r="D43" s="20" t="n">
        <v>1.1</v>
      </c>
      <c r="E43" s="24">
        <f>'03_Returns'!C6+(C43-1)*SUMPRODUCT('02_Cash_Flows'!C11:K11*(1-'01_Assumptions'!$C$26),'02_Cash_Flows'!C33:K33)</f>
        <v/>
      </c>
      <c r="F43" s="24">
        <f>'03_Returns'!C6+(D43-1)*SUMPRODUCT('02_Cash_Flows'!C11:K11*(1-'01_Assumptions'!$C$26),'02_Cash_Flows'!C33:K33)</f>
        <v/>
      </c>
      <c r="G43" s="25">
        <f>F43-E43</f>
        <v/>
      </c>
    </row>
    <row r="45">
      <c r="B45" s="30" t="inlineStr">
        <is>
          <t>Volume two-way rebuilds GP, distribution, and NWC with the factor; savings / G&amp;A / D&amp;A / capex stay at the current scenario. Tornado capex, savings, and contribution rows are first-order (scale that line, hold the rest).</t>
        </is>
      </c>
    </row>
    <row r="46"/>
  </sheetData>
  <mergeCells count="1">
    <mergeCell ref="B45:G46"/>
  </mergeCells>
  <conditionalFormatting sqref="C30:G34">
    <cfRule type="expression" priority="1" dxfId="1">
      <formula>C30&gt;=$C$6</formula>
    </cfRule>
    <cfRule type="expression" priority="2" dxfId="2">
      <formula>C30&lt;$C$6</formula>
    </cfRule>
  </conditionalFormatting>
  <pageMargins left="0.75" right="0.75" top="1" bottom="1" header="0.5" footer="0.5"/>
  <pageSetup orientation="landscape" paperSize="3" fitToHeight="0" fitToWidth="1"/>
  <headerFooter>
    <oddHeader/>
    <oddFooter>&amp;LNorthline Consumer Products  |  fictional sample  |  $000s&amp;RPage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B2:K56"/>
  <sheetViews>
    <sheetView showGridLines="0" workbookViewId="0">
      <selection activeCell="A1" sqref="A1"/>
    </sheetView>
  </sheetViews>
  <sheetFormatPr baseColWidth="8" defaultRowHeight="15"/>
  <cols>
    <col width="4" customWidth="1" min="1" max="1"/>
    <col width="22" customWidth="1" min="2" max="2"/>
    <col width="18" customWidth="1" min="3" max="3"/>
    <col width="4" customWidth="1" min="4" max="4"/>
    <col width="22" customWidth="1" min="5" max="5"/>
    <col width="18" customWidth="1" min="6" max="6"/>
    <col width="4" customWidth="1" min="7" max="7"/>
    <col width="24" customWidth="1" min="8" max="8"/>
    <col width="18" customWidth="1" min="9" max="9"/>
    <col width="4" customWidth="1" min="10" max="10"/>
    <col width="20" customWidth="1" min="11" max="11"/>
  </cols>
  <sheetData>
    <row r="2">
      <c r="B2" s="1" t="inlineStr">
        <is>
          <t>Northline Consumer Products</t>
        </is>
      </c>
    </row>
    <row r="3">
      <c r="B3" s="2">
        <f>'01_Assumptions'!C20</f>
        <v/>
      </c>
    </row>
    <row r="4">
      <c r="B4" s="3" t="inlineStr">
        <is>
          <t>Investment committee one-pager  ·  unlevered  ·  $000s  ·  fictional sample</t>
        </is>
      </c>
    </row>
    <row r="6">
      <c r="B6" s="8" t="inlineStr">
        <is>
          <t>Snapshot</t>
        </is>
      </c>
      <c r="C6" s="9" t="n"/>
      <c r="D6" s="9" t="n"/>
      <c r="E6" s="9" t="n"/>
      <c r="F6" s="9" t="n"/>
      <c r="G6" s="9" t="n"/>
      <c r="H6" s="9" t="n"/>
      <c r="I6" s="9" t="n"/>
    </row>
    <row r="7">
      <c r="B7" s="42" t="inlineStr">
        <is>
          <t>NPV ($000s)</t>
        </is>
      </c>
      <c r="C7" s="19" t="n"/>
      <c r="E7" s="42" t="inlineStr">
        <is>
          <t>IRR</t>
        </is>
      </c>
      <c r="F7" s="19" t="n"/>
      <c r="H7" s="42" t="inlineStr">
        <is>
          <t>Payback (years)</t>
        </is>
      </c>
      <c r="I7" s="19" t="n"/>
    </row>
    <row r="8">
      <c r="B8" s="43">
        <f>'03_Returns'!C6</f>
        <v/>
      </c>
      <c r="C8" s="19" t="n"/>
      <c r="E8" s="44">
        <f>'03_Returns'!C7</f>
        <v/>
      </c>
      <c r="F8" s="19" t="n"/>
      <c r="H8" s="45">
        <f>'03_Returns'!C13</f>
        <v/>
      </c>
      <c r="I8" s="19" t="n"/>
    </row>
    <row r="10">
      <c r="B10" s="42" t="inlineStr">
        <is>
          <t>WACC</t>
        </is>
      </c>
      <c r="C10" s="19" t="n"/>
      <c r="E10" s="42" t="inlineStr">
        <is>
          <t>Profitability index</t>
        </is>
      </c>
      <c r="F10" s="19" t="n"/>
      <c r="H10" s="42" t="inlineStr">
        <is>
          <t>Total capex ($000s)</t>
        </is>
      </c>
      <c r="I10" s="19" t="n"/>
    </row>
    <row r="11">
      <c r="B11" s="44">
        <f>'01_Assumptions'!C25</f>
        <v/>
      </c>
      <c r="C11" s="19" t="n"/>
      <c r="E11" s="46">
        <f>'03_Returns'!C12</f>
        <v/>
      </c>
      <c r="F11" s="19" t="n"/>
      <c r="H11" s="43">
        <f>'01_Assumptions'!C59</f>
        <v/>
      </c>
      <c r="I11" s="19" t="n"/>
    </row>
    <row r="13">
      <c r="B13" s="8" t="inlineStr">
        <is>
          <t>Recommendation</t>
        </is>
      </c>
      <c r="C13" s="9" t="n"/>
      <c r="D13" s="9" t="n"/>
      <c r="E13" s="9" t="n"/>
      <c r="F13" s="9" t="n"/>
      <c r="G13" s="9" t="n"/>
      <c r="H13" s="9" t="n"/>
      <c r="I13" s="9" t="n"/>
    </row>
    <row r="14">
      <c r="B14" s="47">
        <f>'03_Returns'!C18</f>
        <v/>
      </c>
      <c r="C14" s="18" t="n"/>
      <c r="D14" s="18" t="n"/>
      <c r="E14" s="18" t="n"/>
      <c r="F14" s="18" t="n"/>
      <c r="G14" s="18" t="n"/>
      <c r="H14" s="18" t="n"/>
      <c r="I14" s="19" t="n"/>
    </row>
    <row r="15">
      <c r="B15" s="12">
        <f>'03_Returns'!C19</f>
        <v/>
      </c>
    </row>
    <row r="17">
      <c r="B17" s="8" t="inlineStr">
        <is>
          <t>Key assumptions (live)</t>
        </is>
      </c>
      <c r="C17" s="9" t="n"/>
      <c r="D17" s="9" t="n"/>
      <c r="E17" s="9" t="n"/>
      <c r="F17" s="9" t="n"/>
      <c r="G17" s="9" t="n"/>
      <c r="H17" s="9" t="n"/>
      <c r="I17" s="9" t="n"/>
    </row>
    <row r="18">
      <c r="B18" s="15" t="inlineStr">
        <is>
          <t>Scenario</t>
        </is>
      </c>
      <c r="C18" s="48">
        <f>'01_Assumptions'!D6</f>
        <v/>
      </c>
      <c r="E18" s="15" t="inlineStr">
        <is>
          <t>IRR − WACC</t>
        </is>
      </c>
      <c r="F18" s="31">
        <f>'03_Returns'!C9</f>
        <v/>
      </c>
    </row>
    <row r="19">
      <c r="B19" s="15" t="inlineStr">
        <is>
          <t>WACC</t>
        </is>
      </c>
      <c r="C19" s="33">
        <f>'01_Assumptions'!C25</f>
        <v/>
      </c>
      <c r="E19" s="15" t="inlineStr">
        <is>
          <t>Discounted payback (yrs)</t>
        </is>
      </c>
      <c r="F19" s="37">
        <f>'03_Returns'!C14</f>
        <v/>
      </c>
    </row>
    <row r="20">
      <c r="B20" s="15" t="inlineStr">
        <is>
          <t>Tax rate</t>
        </is>
      </c>
      <c r="C20" s="33">
        <f>'01_Assumptions'!C26</f>
        <v/>
      </c>
      <c r="E20" s="15" t="inlineStr">
        <is>
          <t>Sum of FCF ($000s)</t>
        </is>
      </c>
      <c r="F20" s="24">
        <f>'03_Returns'!C15</f>
        <v/>
      </c>
    </row>
    <row r="21">
      <c r="B21" s="15" t="inlineStr">
        <is>
          <t>Project life (years)</t>
        </is>
      </c>
      <c r="C21" s="22">
        <f>'01_Assumptions'!C27</f>
        <v/>
      </c>
      <c r="E21" s="15" t="inlineStr">
        <is>
          <t>PV of investment ($000s)</t>
        </is>
      </c>
      <c r="F21" s="24">
        <f>'03_Returns'!C11</f>
        <v/>
      </c>
    </row>
    <row r="22">
      <c r="B22" s="15" t="inlineStr">
        <is>
          <t>Gross capex ($000s)</t>
        </is>
      </c>
      <c r="C22" s="24">
        <f>'01_Assumptions'!C59</f>
        <v/>
      </c>
    </row>
    <row r="23">
      <c r="B23" s="15" t="inlineStr">
        <is>
          <t>Run-rate volume (000 cases)</t>
        </is>
      </c>
      <c r="C23" s="29">
        <f>'01_Assumptions'!C47*'01_Assumptions'!C8</f>
        <v/>
      </c>
    </row>
    <row r="24">
      <c r="B24" s="15" t="inlineStr">
        <is>
          <t>Contribution $/case</t>
        </is>
      </c>
      <c r="C24" s="49">
        <f>'01_Assumptions'!C49*'01_Assumptions'!C10</f>
        <v/>
      </c>
    </row>
    <row r="25">
      <c r="B25" s="15" t="inlineStr">
        <is>
          <t>Run-rate savings ($000s)</t>
        </is>
      </c>
      <c r="C25" s="24">
        <f>'01_Assumptions'!C56*'01_Assumptions'!C9</f>
        <v/>
      </c>
    </row>
    <row r="26">
      <c r="B26" s="15" t="inlineStr">
        <is>
          <t>NWC % of revenue</t>
        </is>
      </c>
      <c r="C26" s="33">
        <f>'01_Assumptions'!C29</f>
        <v/>
      </c>
    </row>
    <row r="27">
      <c r="B27" s="15" t="inlineStr">
        <is>
          <t>Salvage ($000s)</t>
        </is>
      </c>
      <c r="C27" s="24">
        <f>'01_Assumptions'!C60</f>
        <v/>
      </c>
    </row>
    <row r="29">
      <c r="B29" s="2" t="inlineStr">
        <is>
          <t>Unlevered FCF ($000s)</t>
        </is>
      </c>
    </row>
    <row r="30">
      <c r="B30" s="14" t="inlineStr">
        <is>
          <t>Year</t>
        </is>
      </c>
      <c r="C30" s="14" t="inlineStr">
        <is>
          <t>2026</t>
        </is>
      </c>
      <c r="D30" s="14" t="inlineStr">
        <is>
          <t>2027</t>
        </is>
      </c>
      <c r="E30" s="14" t="inlineStr">
        <is>
          <t>2028</t>
        </is>
      </c>
      <c r="F30" s="14" t="inlineStr">
        <is>
          <t>2029</t>
        </is>
      </c>
      <c r="G30" s="14" t="inlineStr">
        <is>
          <t>2030</t>
        </is>
      </c>
      <c r="H30" s="14" t="inlineStr">
        <is>
          <t>2031</t>
        </is>
      </c>
      <c r="I30" s="14" t="inlineStr">
        <is>
          <t>2032</t>
        </is>
      </c>
      <c r="J30" s="14" t="inlineStr">
        <is>
          <t>2033</t>
        </is>
      </c>
      <c r="K30" s="14" t="inlineStr">
        <is>
          <t>2034</t>
        </is>
      </c>
    </row>
    <row r="31">
      <c r="B31" t="inlineStr">
        <is>
          <t>FCF</t>
        </is>
      </c>
      <c r="C31" s="25">
        <f>'02_Cash_Flows'!C29</f>
        <v/>
      </c>
      <c r="D31" s="25">
        <f>'02_Cash_Flows'!D29</f>
        <v/>
      </c>
      <c r="E31" s="25">
        <f>'02_Cash_Flows'!E29</f>
        <v/>
      </c>
      <c r="F31" s="25">
        <f>'02_Cash_Flows'!F29</f>
        <v/>
      </c>
      <c r="G31" s="25">
        <f>'02_Cash_Flows'!G29</f>
        <v/>
      </c>
      <c r="H31" s="25">
        <f>'02_Cash_Flows'!H29</f>
        <v/>
      </c>
      <c r="I31" s="25">
        <f>'02_Cash_Flows'!I29</f>
        <v/>
      </c>
      <c r="J31" s="25">
        <f>'02_Cash_Flows'!J29</f>
        <v/>
      </c>
      <c r="K31" s="25">
        <f>'02_Cash_Flows'!K29</f>
        <v/>
      </c>
    </row>
    <row r="32">
      <c r="B32" t="inlineStr">
        <is>
          <t>Cumulative</t>
        </is>
      </c>
      <c r="C32" s="24">
        <f>'02_Cash_Flows'!C30</f>
        <v/>
      </c>
      <c r="D32" s="24">
        <f>'02_Cash_Flows'!D30</f>
        <v/>
      </c>
      <c r="E32" s="24">
        <f>'02_Cash_Flows'!E30</f>
        <v/>
      </c>
      <c r="F32" s="24">
        <f>'02_Cash_Flows'!F30</f>
        <v/>
      </c>
      <c r="G32" s="24">
        <f>'02_Cash_Flows'!G30</f>
        <v/>
      </c>
      <c r="H32" s="24">
        <f>'02_Cash_Flows'!H30</f>
        <v/>
      </c>
      <c r="I32" s="24">
        <f>'02_Cash_Flows'!I30</f>
        <v/>
      </c>
      <c r="J32" s="24">
        <f>'02_Cash_Flows'!J30</f>
        <v/>
      </c>
      <c r="K32" s="24">
        <f>'02_Cash_Flows'!K30</f>
        <v/>
      </c>
    </row>
    <row r="49">
      <c r="B49" s="2" t="inlineStr">
        <is>
          <t>NPV vs WACC (from 04_Sensitivity)</t>
        </is>
      </c>
      <c r="E49" s="2" t="inlineStr">
        <is>
          <t>How to inherit</t>
        </is>
      </c>
    </row>
    <row r="50">
      <c r="B50" s="33">
        <f>'04_Sensitivity'!B12</f>
        <v/>
      </c>
      <c r="C50" s="24">
        <f>'04_Sensitivity'!C12</f>
        <v/>
      </c>
      <c r="E50" s="50" t="inlineStr">
        <is>
          <t>Change yellow cells on 01_Assumptions. Live case is whatever scenario 1/2/3 is selected. Do not type over black cells.</t>
        </is>
      </c>
    </row>
    <row r="51">
      <c r="B51" s="33">
        <f>'04_Sensitivity'!B13</f>
        <v/>
      </c>
      <c r="C51" s="24">
        <f>'04_Sensitivity'!C13</f>
        <v/>
      </c>
    </row>
    <row r="52">
      <c r="B52" s="33">
        <f>'04_Sensitivity'!B14</f>
        <v/>
      </c>
      <c r="C52" s="24">
        <f>'04_Sensitivity'!C14</f>
        <v/>
      </c>
    </row>
    <row r="53">
      <c r="B53" s="33">
        <f>'04_Sensitivity'!B15</f>
        <v/>
      </c>
      <c r="C53" s="24">
        <f>'04_Sensitivity'!C15</f>
        <v/>
      </c>
    </row>
    <row r="54">
      <c r="B54" s="33">
        <f>'04_Sensitivity'!B16</f>
        <v/>
      </c>
      <c r="C54" s="24">
        <f>'04_Sensitivity'!C16</f>
        <v/>
      </c>
    </row>
    <row r="56">
      <c r="B56" s="12" t="inlineStr">
        <is>
          <t>All sample numbers are fictional. Built for a public GitHub portfolio — no employer data.</t>
        </is>
      </c>
    </row>
  </sheetData>
  <mergeCells count="16">
    <mergeCell ref="H11:I11"/>
    <mergeCell ref="B7:C7"/>
    <mergeCell ref="B11:C11"/>
    <mergeCell ref="E7:F7"/>
    <mergeCell ref="E10:F10"/>
    <mergeCell ref="H7:I7"/>
    <mergeCell ref="H10:I10"/>
    <mergeCell ref="B15:I15"/>
    <mergeCell ref="B10:C10"/>
    <mergeCell ref="E11:F11"/>
    <mergeCell ref="B3:I3"/>
    <mergeCell ref="E50:I52"/>
    <mergeCell ref="B14:I14"/>
    <mergeCell ref="H8:I8"/>
    <mergeCell ref="B8:C8"/>
    <mergeCell ref="E8:F8"/>
  </mergeCells>
  <pageMargins left="0.75" right="0.75" top="1" bottom="1" header="0.5" footer="0.5"/>
  <pageSetup orientation="landscape" paperSize="3" fitToHeight="1" fitToWidth="1"/>
  <headerFooter>
    <oddHeader/>
    <oddFooter>&amp;LNorthline Consumer Products  |  fictional sample  |  $000s&amp;RPage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7F7F7F"/>
    <outlinePr summaryBelow="1" summaryRight="1"/>
    <pageSetUpPr fitToPage="1"/>
  </sheetPr>
  <dimension ref="B2:D33"/>
  <sheetViews>
    <sheetView showGridLines="0" workbookViewId="0">
      <selection activeCell="A1" sqref="A1"/>
    </sheetView>
  </sheetViews>
  <sheetFormatPr baseColWidth="8" defaultRowHeight="15"/>
  <cols>
    <col width="4" customWidth="1" min="1" max="1"/>
    <col width="36" customWidth="1" min="2" max="2"/>
    <col width="22" customWidth="1" min="3" max="3"/>
    <col width="82" customWidth="1" min="4" max="4"/>
  </cols>
  <sheetData>
    <row r="2">
      <c r="B2" s="1" t="inlineStr">
        <is>
          <t>Data dictionary</t>
        </is>
      </c>
    </row>
    <row r="3">
      <c r="B3" s="3" t="inlineStr">
        <is>
          <t>Field definitions so another analyst can inherit the file.</t>
        </is>
      </c>
    </row>
    <row r="5">
      <c r="B5" s="51" t="inlineStr">
        <is>
          <t>Field</t>
        </is>
      </c>
      <c r="C5" s="51" t="inlineStr">
        <is>
          <t>Tab</t>
        </is>
      </c>
      <c r="D5" s="51" t="inlineStr">
        <is>
          <t>Definition</t>
        </is>
      </c>
    </row>
    <row r="6" ht="32" customHeight="1">
      <c r="B6" s="23" t="inlineStr">
        <is>
          <t>Scenario</t>
        </is>
      </c>
      <c r="C6" s="15" t="inlineStr">
        <is>
          <t>01_Assumptions</t>
        </is>
      </c>
      <c r="D6" s="52" t="inlineStr">
        <is>
          <t>1 Base / 2 Upside / 3 Downside. Indexes the factor table and scales capex, volume, savings, and contribution $/case.</t>
        </is>
      </c>
    </row>
    <row r="7" ht="32" customHeight="1">
      <c r="B7" s="23" t="inlineStr">
        <is>
          <t>Capex / volume / savings / contribution factors</t>
        </is>
      </c>
      <c r="C7" s="15" t="inlineStr">
        <is>
          <t>01_Assumptions</t>
        </is>
      </c>
      <c r="D7" s="52" t="inlineStr">
        <is>
          <t>Applied to gross capex spend, volume, run-rate savings, and contribution per case.</t>
        </is>
      </c>
    </row>
    <row r="8" ht="32" customHeight="1">
      <c r="B8" s="23" t="inlineStr">
        <is>
          <t>WACC</t>
        </is>
      </c>
      <c r="C8" s="15" t="inlineStr">
        <is>
          <t>01_Assumptions</t>
        </is>
      </c>
      <c r="D8" s="52" t="inlineStr">
        <is>
          <t>Unlevered project hurdle. Year-end discounting of FCF. Sample 9.5%.</t>
        </is>
      </c>
    </row>
    <row r="9" ht="32" customHeight="1">
      <c r="B9" s="23" t="inlineStr">
        <is>
          <t>Tax rate</t>
        </is>
      </c>
      <c r="C9" s="15" t="inlineStr">
        <is>
          <t>01_Assumptions</t>
        </is>
      </c>
      <c r="D9" s="52" t="inlineStr">
        <is>
          <t>Applied to EBIT. Negative EBIT produces a tax shield (assumes the firm has other taxable income).</t>
        </is>
      </c>
    </row>
    <row r="10" ht="32" customHeight="1">
      <c r="B10" s="23" t="inlineStr">
        <is>
          <t>Project life</t>
        </is>
      </c>
      <c r="C10" s="15" t="inlineStr">
        <is>
          <t>01_Assumptions</t>
        </is>
      </c>
      <c r="D10" s="52" t="inlineStr">
        <is>
          <t>Operating and D&amp;A years from COD (t = 1). Sample 8 years (2027–2034). t = 0 is 2026 spend.</t>
        </is>
      </c>
    </row>
    <row r="11" ht="32" customHeight="1">
      <c r="B11" s="23" t="inlineStr">
        <is>
          <t>Salvage % of gross capex</t>
        </is>
      </c>
      <c r="C11" s="15" t="inlineStr">
        <is>
          <t>01_Assumptions</t>
        </is>
      </c>
      <c r="D11" s="52" t="inlineStr">
        <is>
          <t>Cash inflow in the final year. Straight-line D&amp;A is charged on (gross capex − salvage), so book value = salvage and the inflow is untaxed.</t>
        </is>
      </c>
    </row>
    <row r="12" ht="32" customHeight="1">
      <c r="B12" s="23" t="inlineStr">
        <is>
          <t>NWC % of incremental revenue</t>
        </is>
      </c>
      <c r="C12" s="15" t="inlineStr">
        <is>
          <t>01_Assumptions</t>
        </is>
      </c>
      <c r="D12" s="52" t="inlineStr">
        <is>
          <t>NWC balance = % × incremental revenue. Released (balance → 0) in the final project year.</t>
        </is>
      </c>
    </row>
    <row r="13" ht="32" customHeight="1">
      <c r="B13" s="23" t="inlineStr">
        <is>
          <t>Gross capex timing</t>
        </is>
      </c>
      <c r="C13" s="15" t="inlineStr">
        <is>
          <t>01_Assumptions</t>
        </is>
      </c>
      <c r="D13" s="52" t="inlineStr">
        <is>
          <t>Equipment, installation, and spares by year, then × capex factor. Sample spend in 2026–2027.</t>
        </is>
      </c>
    </row>
    <row r="14" ht="32" customHeight="1">
      <c r="B14" s="23" t="inlineStr">
        <is>
          <t>Maintenance capex</t>
        </is>
      </c>
      <c r="C14" s="15" t="inlineStr">
        <is>
          <t>01_Assumptions</t>
        </is>
      </c>
      <c r="D14" s="52" t="inlineStr">
        <is>
          <t>Sustaining capex after COD. Not scaled by the scenario capex factor.</t>
        </is>
      </c>
    </row>
    <row r="15" ht="32" customHeight="1">
      <c r="B15" s="23" t="inlineStr">
        <is>
          <t>Volume ramp</t>
        </is>
      </c>
      <c r="C15" s="15" t="inlineStr">
        <is>
          <t>01_Assumptions</t>
        </is>
      </c>
      <c r="D15" s="52" t="inlineStr">
        <is>
          <t>Share of run-rate volume lift by year, then × volume factor.</t>
        </is>
      </c>
    </row>
    <row r="16" ht="32" customHeight="1">
      <c r="B16" s="23" t="inlineStr">
        <is>
          <t>Savings ramp</t>
        </is>
      </c>
      <c r="C16" s="15" t="inlineStr">
        <is>
          <t>01_Assumptions</t>
        </is>
      </c>
      <c r="D16" s="52" t="inlineStr">
        <is>
          <t>Share of run-rate cost savings by year, then × savings factor.</t>
        </is>
      </c>
    </row>
    <row r="17" ht="32" customHeight="1">
      <c r="B17" s="23" t="inlineStr">
        <is>
          <t>Run-rate volume lift</t>
        </is>
      </c>
      <c r="C17" s="15" t="inlineStr">
        <is>
          <t>01_Assumptions</t>
        </is>
      </c>
      <c r="D17" s="52" t="inlineStr">
        <is>
          <t>Incremental 000 cases vs doing nothing once the line is at nameplate.</t>
        </is>
      </c>
    </row>
    <row r="18" ht="32" customHeight="1">
      <c r="B18" s="23" t="inlineStr">
        <is>
          <t>Incremental contribution $/case</t>
        </is>
      </c>
      <c r="C18" s="15" t="inlineStr">
        <is>
          <t>01_Assumptions</t>
        </is>
      </c>
      <c r="D18" s="52" t="inlineStr">
        <is>
          <t>Net price − variable COGS on incremental volume. Then × contribution factor.</t>
        </is>
      </c>
    </row>
    <row r="19" ht="32" customHeight="1">
      <c r="B19" s="23" t="inlineStr">
        <is>
          <t>Run-rate savings</t>
        </is>
      </c>
      <c r="C19" s="15" t="inlineStr">
        <is>
          <t>01_Assumptions</t>
        </is>
      </c>
      <c r="D19" s="52" t="inlineStr">
        <is>
          <t>Labor, scrap/giveaway, energy, avoided old-line maintenance at nameplate ($000s).</t>
        </is>
      </c>
    </row>
    <row r="20" ht="32" customHeight="1">
      <c r="B20" s="23" t="inlineStr">
        <is>
          <t>Incremental EBITDA</t>
        </is>
      </c>
      <c r="C20" s="15" t="inlineStr">
        <is>
          <t>02_Cash_Flows</t>
        </is>
      </c>
      <c r="D20" s="52" t="inlineStr">
        <is>
          <t>Contribution + savings − variable distribution − incremental G&amp;A.</t>
        </is>
      </c>
    </row>
    <row r="21" ht="32" customHeight="1">
      <c r="B21" s="23" t="inlineStr">
        <is>
          <t>D&amp;A</t>
        </is>
      </c>
      <c r="C21" s="15" t="inlineStr">
        <is>
          <t>02_Cash_Flows</t>
        </is>
      </c>
      <c r="D21" s="52" t="inlineStr">
        <is>
          <t>Straight-line annual charge for t = 1..life. Zero in the 2026 spend year.</t>
        </is>
      </c>
    </row>
    <row r="22" ht="32" customHeight="1">
      <c r="B22" s="23" t="inlineStr">
        <is>
          <t>NOPAT</t>
        </is>
      </c>
      <c r="C22" s="15" t="inlineStr">
        <is>
          <t>02_Cash_Flows</t>
        </is>
      </c>
      <c r="D22" s="52" t="inlineStr">
        <is>
          <t>EBIT × (1 − tax).</t>
        </is>
      </c>
    </row>
    <row r="23" ht="32" customHeight="1">
      <c r="B23" s="23" t="inlineStr">
        <is>
          <t>Unlevered FCF</t>
        </is>
      </c>
      <c r="C23" s="15" t="inlineStr">
        <is>
          <t>02_Cash_Flows</t>
        </is>
      </c>
      <c r="D23" s="52" t="inlineStr">
        <is>
          <t>NOPAT + D&amp;A − gross capex − maintenance − ΔNWC + after-tax salvage.</t>
        </is>
      </c>
    </row>
    <row r="24" ht="32" customHeight="1">
      <c r="B24" s="23" t="inlineStr">
        <is>
          <t>NPV</t>
        </is>
      </c>
      <c r="C24" s="15" t="inlineStr">
        <is>
          <t>03_Returns</t>
        </is>
      </c>
      <c r="D24" s="52" t="inlineStr">
        <is>
          <t>FCF₀ + Excel NPV(WACC, FCF₁…FCF₈). Year-end convention.</t>
        </is>
      </c>
    </row>
    <row r="25" ht="32" customHeight="1">
      <c r="B25" s="23" t="inlineStr">
        <is>
          <t>IRR</t>
        </is>
      </c>
      <c r="C25" s="15" t="inlineStr">
        <is>
          <t>03_Returns</t>
        </is>
      </c>
      <c r="D25" s="52" t="inlineStr">
        <is>
          <t>Internal rate of return on the unlevered FCF series including t = 0.</t>
        </is>
      </c>
    </row>
    <row r="26" ht="32" customHeight="1">
      <c r="B26" s="23" t="inlineStr">
        <is>
          <t>Payback</t>
        </is>
      </c>
      <c r="C26" s="15" t="inlineStr">
        <is>
          <t>03_Returns</t>
        </is>
      </c>
      <c r="D26" s="52" t="inlineStr">
        <is>
          <t>Interpolated year when cumulative FCF turns positive: t_prior + |cum_prior| / FCF_crossing.</t>
        </is>
      </c>
    </row>
    <row r="27" ht="32" customHeight="1">
      <c r="B27" s="23" t="inlineStr">
        <is>
          <t>Discounted payback</t>
        </is>
      </c>
      <c r="C27" s="15" t="inlineStr">
        <is>
          <t>03_Returns</t>
        </is>
      </c>
      <c r="D27" s="52" t="inlineStr">
        <is>
          <t>Same interpolation on cumulative PV of FCF.</t>
        </is>
      </c>
    </row>
    <row r="28" ht="32" customHeight="1">
      <c r="B28" s="23" t="inlineStr">
        <is>
          <t>Profitability index</t>
        </is>
      </c>
      <c r="C28" s="15" t="inlineStr">
        <is>
          <t>03_Returns</t>
        </is>
      </c>
      <c r="D28" s="52" t="inlineStr">
        <is>
          <t>(NPV + PV of capex and maintenance) / PV of capex and maintenance.</t>
        </is>
      </c>
    </row>
    <row r="29" ht="32" customHeight="1">
      <c r="B29" s="23" t="inlineStr">
        <is>
          <t>Recommendation</t>
        </is>
      </c>
      <c r="C29" s="15" t="inlineStr">
        <is>
          <t>03_Returns</t>
        </is>
      </c>
      <c r="D29" s="52" t="inlineStr">
        <is>
          <t>Recommend approve if NPV &gt; 0, IRR &gt; WACC, and undiscounted payback ≤ 5 years.</t>
        </is>
      </c>
    </row>
    <row r="30" ht="32" customHeight="1">
      <c r="B30" s="23" t="inlineStr">
        <is>
          <t>Volume two-way</t>
        </is>
      </c>
      <c r="C30" s="15" t="inlineStr">
        <is>
          <t>04_Sensitivity</t>
        </is>
      </c>
      <c r="D30" s="52" t="inlineStr">
        <is>
          <t>Rebuilds FCF with GP, distribution, and NWC × volume factor; other lines held at the current case.</t>
        </is>
      </c>
    </row>
    <row r="31" ht="32" customHeight="1">
      <c r="B31" s="23" t="inlineStr">
        <is>
          <t>Tornado</t>
        </is>
      </c>
      <c r="C31" s="15" t="inlineStr">
        <is>
          <t>04_Sensitivity</t>
        </is>
      </c>
      <c r="D31" s="52" t="inlineStr">
        <is>
          <t>One-at-a-time NPV at low/high WACC, volume, capex, savings, and contribution.</t>
        </is>
      </c>
    </row>
    <row r="32" ht="32" customHeight="1">
      <c r="B32" s="23" t="inlineStr">
        <is>
          <t>Units</t>
        </is>
      </c>
      <c r="C32" s="15" t="inlineStr">
        <is>
          <t>All</t>
        </is>
      </c>
      <c r="D32" s="52" t="inlineStr">
        <is>
          <t>Dollars in $000s. Volume in 000 cases. Prices and contribution in $ per case. Rates in %.</t>
        </is>
      </c>
    </row>
    <row r="33">
      <c r="B33" s="12" t="inlineStr">
        <is>
          <t>All sample numbers are fictional. Built for a public GitHub portfolio — no employer data.</t>
        </is>
      </c>
    </row>
  </sheetData>
  <pageMargins left="0.75" right="0.75" top="1" bottom="1" header="0.5" footer="0.5"/>
  <pageSetup orientation="landscape" paperSize="3" fitToHeight="0" fitToWidth="1"/>
  <headerFooter>
    <oddHeader/>
    <oddFooter>&amp;LNorthline Consumer Products  |  fictional sample  |  $000s&amp;RPage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Sai Siri Bandaru</dc:creator>
  <dc:title>Northline Capex Investment Case</dc:title>
  <dcterms:created xsi:type="dcterms:W3CDTF">2026-09-02T01:36:48Z</dcterms:created>
  <dcterms:modified xsi:type="dcterms:W3CDTF">2026-09-02T01:36:48Z</dcterms:modified>
</cp:coreProperties>
</file>