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ver" sheetId="1" state="visible" r:id="rId1"/>
    <sheet name="01_Assumptions" sheetId="2" state="visible" r:id="rId2"/>
    <sheet name="02_Cash_Flows" sheetId="3" state="visible" r:id="rId3"/>
    <sheet name="03_Returns" sheetId="4" state="visible" r:id="rId4"/>
    <sheet name="04_Sensitivity" sheetId="5" state="visible" r:id="rId5"/>
    <sheet name="05_One_Pager" sheetId="6" state="visible" r:id="rId6"/>
    <sheet name="06_Data_Diction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_);_($* (#,##0);_($* &quot;-&quot;??_);_(@_)"/>
    <numFmt numFmtId="165" formatCode="0.0%"/>
    <numFmt numFmtId="166" formatCode="0.0"/>
    <numFmt numFmtId="167" formatCode="#,##0.0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i val="1"/>
      <color rgb="00666666"/>
      <sz val="10"/>
    </font>
    <font>
      <name val="Calibri"/>
      <b val="1"/>
      <sz val="11"/>
    </font>
    <font>
      <name val="Calibri"/>
      <b val="1"/>
      <color rgb="000000FF"/>
      <sz val="11"/>
    </font>
    <font>
      <name val="Calibri"/>
      <color rgb="000563C1"/>
      <sz val="11"/>
      <u val="single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1F4E79"/>
      <sz val="14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6E3F0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E9EDF4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2" borderId="0" pivotButton="0" quotePrefix="0" xfId="0"/>
    <xf numFmtId="0" fontId="6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7" fillId="2" borderId="1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1" fontId="7" fillId="2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/>
    </xf>
    <xf numFmtId="0" fontId="8" fillId="0" borderId="0" pivotButton="0" quotePrefix="0" xfId="0"/>
    <xf numFmtId="164" fontId="9" fillId="0" borderId="1" applyAlignment="1" pivotButton="0" quotePrefix="0" xfId="0">
      <alignment horizontal="center"/>
    </xf>
    <xf numFmtId="165" fontId="7" fillId="2" borderId="1" applyAlignment="1" pivotButton="0" quotePrefix="0" xfId="0">
      <alignment horizontal="center"/>
    </xf>
    <xf numFmtId="166" fontId="7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165" fontId="9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2" fontId="7" fillId="2" borderId="1" applyAlignment="1" pivotButton="0" quotePrefix="0" xfId="0">
      <alignment horizontal="center"/>
    </xf>
    <xf numFmtId="2" fontId="10" fillId="4" borderId="1" applyAlignment="1" pivotButton="0" quotePrefix="0" xfId="0">
      <alignment horizontal="center"/>
    </xf>
    <xf numFmtId="164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 wrapText="1"/>
    </xf>
    <xf numFmtId="0" fontId="4" fillId="0" borderId="1" pivotButton="0" quotePrefix="0" xfId="0"/>
    <xf numFmtId="0" fontId="8" fillId="0" borderId="0" applyAlignment="1" pivotButton="0" quotePrefix="0" xfId="0">
      <alignment wrapText="1"/>
    </xf>
    <xf numFmtId="0" fontId="0" fillId="0" borderId="1" pivotButton="0" quotePrefix="0" xfId="0"/>
    <xf numFmtId="1" fontId="9" fillId="0" borderId="1" applyAlignment="1" pivotButton="0" quotePrefix="0" xfId="0">
      <alignment horizontal="center"/>
    </xf>
    <xf numFmtId="167" fontId="9" fillId="0" borderId="1" applyAlignment="1" pivotButton="0" quotePrefix="0" xfId="0">
      <alignment horizontal="center"/>
    </xf>
    <xf numFmtId="168" fontId="9" fillId="0" borderId="1" applyAlignment="1" pivotButton="0" quotePrefix="0" xfId="0">
      <alignment horizontal="center"/>
    </xf>
    <xf numFmtId="164" fontId="12" fillId="4" borderId="1" applyAlignment="1" pivotButton="0" quotePrefix="0" xfId="0">
      <alignment horizontal="center"/>
    </xf>
    <xf numFmtId="165" fontId="12" fillId="4" borderId="1" applyAlignment="1" pivotButton="0" quotePrefix="0" xfId="0">
      <alignment horizontal="center"/>
    </xf>
    <xf numFmtId="165" fontId="10" fillId="4" borderId="1" applyAlignment="1" pivotButton="0" quotePrefix="0" xfId="0">
      <alignment horizontal="center"/>
    </xf>
    <xf numFmtId="2" fontId="9" fillId="0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left"/>
    </xf>
    <xf numFmtId="0" fontId="4" fillId="3" borderId="0" pivotButton="0" quotePrefix="0" xfId="0"/>
    <xf numFmtId="3" fontId="4" fillId="3" borderId="1" applyAlignment="1" pivotButton="0" quotePrefix="0" xfId="0">
      <alignment horizontal="center"/>
    </xf>
    <xf numFmtId="165" fontId="4" fillId="3" borderId="1" pivotButton="0" quotePrefix="0" xfId="0"/>
    <xf numFmtId="164" fontId="9" fillId="4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0" fontId="8" fillId="6" borderId="1" pivotButton="0" quotePrefix="0" xfId="0"/>
    <xf numFmtId="0" fontId="0" fillId="6" borderId="1" pivotButton="0" quotePrefix="0" xfId="0"/>
    <xf numFmtId="164" fontId="13" fillId="4" borderId="1" applyAlignment="1" pivotButton="0" quotePrefix="0" xfId="0">
      <alignment horizontal="center"/>
    </xf>
    <xf numFmtId="0" fontId="0" fillId="4" borderId="5" pivotButton="0" quotePrefix="0" xfId="0"/>
    <xf numFmtId="165" fontId="13" fillId="4" borderId="1" applyAlignment="1" pivotButton="0" quotePrefix="0" xfId="0">
      <alignment horizontal="center"/>
    </xf>
    <xf numFmtId="2" fontId="13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left" wrapText="1"/>
    </xf>
    <xf numFmtId="3" fontId="10" fillId="4" borderId="1" applyAlignment="1" pivotButton="0" quotePrefix="0" xfId="0">
      <alignment horizontal="center"/>
    </xf>
    <xf numFmtId="0" fontId="11" fillId="5" borderId="1" pivotButton="0" quotePrefix="0" xfId="0"/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tornado vs base ($000s)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'04_Sensitivity'!C31</f>
            </strRef>
          </tx>
          <spPr>
            <a:ln>
              <a:prstDash val="solid"/>
            </a:ln>
          </spPr>
          <cat>
            <numRef>
              <f>'04_Sensitivity'!$B$32:$B$38</f>
            </numRef>
          </cat>
          <val>
            <numRef>
              <f>'04_Sensitivity'!$C$32:$C$38</f>
            </numRef>
          </val>
        </ser>
        <ser>
          <idx val="1"/>
          <order val="1"/>
          <tx>
            <strRef>
              <f>'04_Sensitivity'!D31</f>
            </strRef>
          </tx>
          <spPr>
            <a:ln>
              <a:prstDash val="solid"/>
            </a:ln>
          </spPr>
          <cat>
            <numRef>
              <f>'04_Sensitivity'!$B$32:$B$38</f>
            </numRef>
          </cat>
          <val>
            <numRef>
              <f>'04_Sensitivity'!$D$32:$D$38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$000s vs base NPV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Unlevered FCF ($000s)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'05_One_Pager'!B33</f>
            </strRef>
          </tx>
          <spPr>
            <a:ln>
              <a:prstDash val="solid"/>
            </a:ln>
          </spPr>
          <cat>
            <numRef>
              <f>'05_One_Pager'!$C$32:$K$32</f>
            </numRef>
          </cat>
          <val>
            <numRef>
              <f>'05_One_Pager'!$C$33:$K$33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$000s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Northline Consumer Products</t>
        </is>
      </c>
    </row>
    <row r="3">
      <c r="B3" s="2" t="inlineStr">
        <is>
          <t>Capex investment case  ·  Midwest high-speed filling line  ·  NPV, IRR, payback</t>
        </is>
      </c>
    </row>
    <row r="4">
      <c r="B4" s="3" t="inlineStr">
        <is>
          <t>Capital committee pack  ·  8-year unlevered cash flows  ·  fictional CPG company  ·  $000s</t>
        </is>
      </c>
    </row>
    <row r="6">
      <c r="B6" s="4" t="inlineStr">
        <is>
          <t>What this file is</t>
        </is>
      </c>
    </row>
    <row r="7" ht="62" customHeight="1">
      <c r="B7" s="5" t="inlineStr">
        <is>
          <t>A capital-request pack for a fictional plant project: install a high-speed filling line at the Midwest plant. The line adds capacity, converts co-pack and overtime into in-house volume, and lowers conversion cost on the base run. Assumptions drive project cash flows; returns (NPV, IRR, payback, PI) and a WACC × volume-lift sensitivity are formulas. The one-pager is the page a capital committee would actually read.</t>
        </is>
      </c>
    </row>
    <row r="9">
      <c r="B9" s="4" t="inlineStr">
        <is>
          <t>How to use</t>
        </is>
      </c>
    </row>
    <row r="10">
      <c r="B10" t="inlineStr">
        <is>
          <t>1. Edit yellow cells on 01_Assumptions (capex, timing, volume lift, savings, WACC, tax, life, ramps).</t>
        </is>
      </c>
    </row>
    <row r="11">
      <c r="B11" t="inlineStr">
        <is>
          <t>2. Read the unlevered project cash-flow build on 02_Cash_Flows (all formulas).</t>
        </is>
      </c>
    </row>
    <row r="12">
      <c r="B12" t="inlineStr">
        <is>
          <t>3. Read NPV, IRR, payback, discounted payback, and PI vs hurdles on 03_Returns.</t>
        </is>
      </c>
    </row>
    <row r="13">
      <c r="B13" t="inlineStr">
        <is>
          <t>4. Stress WACC × volume lift (and a tornado on the big drivers) on 04_Sensitivity.</t>
        </is>
      </c>
    </row>
    <row r="14">
      <c r="B14" t="inlineStr">
        <is>
          <t>5. Use 05_One_Pager as the committee page (ask, returns, capacity story, recommendation).</t>
        </is>
      </c>
    </row>
    <row r="16">
      <c r="B16" s="4" t="inlineStr">
        <is>
          <t>File conventions</t>
        </is>
      </c>
    </row>
    <row r="17">
      <c r="B17" s="6" t="inlineStr">
        <is>
          <t>Yellow cells with blue font = inputs. Black font = formulas. Green cells = key outputs.</t>
        </is>
      </c>
    </row>
    <row r="18">
      <c r="B18" t="inlineStr">
        <is>
          <t>Year 0 is the spend year. Operating cash flows run Year 1–8. Dollars in $000s. Volume in 000 cases.</t>
        </is>
      </c>
    </row>
    <row r="19">
      <c r="B19" t="inlineStr">
        <is>
          <t>All figures are fictional. There is no employer data in this file.</t>
        </is>
      </c>
    </row>
    <row r="21">
      <c r="B21" s="4" t="inlineStr">
        <is>
          <t>Portfolio</t>
        </is>
      </c>
    </row>
    <row r="22">
      <c r="B22" t="inlineStr">
        <is>
          <t>Sai Siri Bandaru — Financial Analyst | FP&amp;A | forecasting, variance analysis, Excel</t>
        </is>
      </c>
    </row>
    <row r="23">
      <c r="B23" s="7" t="inlineStr">
        <is>
          <t>https://github.com/saisiri-bandaru</t>
        </is>
      </c>
    </row>
  </sheetData>
  <pageMargins left="0.75" right="0.75" top="1" bottom="1" header="0.5" footer="0.5"/>
  <pageSetup orientation="landscape" paperSize="3" fitToHeight="1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7C948"/>
    <outlinePr summaryBelow="1" summaryRight="1"/>
    <pageSetUpPr fitToPage="1"/>
  </sheetPr>
  <dimension ref="B2:K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" customWidth="1" min="12" max="12"/>
  </cols>
  <sheetData>
    <row r="2">
      <c r="B2" s="1" t="inlineStr">
        <is>
          <t>Assumptions</t>
        </is>
      </c>
    </row>
    <row r="3">
      <c r="B3" s="3" t="inlineStr">
        <is>
          <t>Yellow + blue = inputs. Change these; cash flows, returns, sensitivity, and the one-pager recalculate.</t>
        </is>
      </c>
    </row>
    <row r="5">
      <c r="B5" s="8" t="inlineStr">
        <is>
          <t>Project</t>
        </is>
      </c>
      <c r="C5" s="9" t="n"/>
    </row>
    <row r="6">
      <c r="B6" t="inlineStr">
        <is>
          <t>Project name</t>
        </is>
      </c>
      <c r="C6" s="10" t="inlineStr">
        <is>
          <t>Midwest HS filling line</t>
        </is>
      </c>
      <c r="D6" s="11" t="n"/>
      <c r="E6" s="11" t="n"/>
      <c r="F6" s="12" t="n"/>
    </row>
    <row r="7">
      <c r="B7" t="inlineStr">
        <is>
          <t>Plant / site</t>
        </is>
      </c>
      <c r="C7" s="10" t="inlineStr">
        <is>
          <t>Midwest (OH)</t>
        </is>
      </c>
    </row>
    <row r="8">
      <c r="B8" t="inlineStr">
        <is>
          <t>Request year</t>
        </is>
      </c>
      <c r="C8" s="13" t="n">
        <v>2026</v>
      </c>
    </row>
    <row r="9">
      <c r="B9" t="inlineStr">
        <is>
          <t>Sponsor</t>
        </is>
      </c>
      <c r="C9" s="10" t="inlineStr">
        <is>
          <t>Ops / Supply Chain</t>
        </is>
      </c>
    </row>
    <row r="11">
      <c r="B11" s="8" t="inlineStr">
        <is>
          <t>Capex timing and life</t>
        </is>
      </c>
      <c r="C11" s="9" t="n"/>
    </row>
    <row r="12">
      <c r="B12" t="inlineStr">
        <is>
          <t>Gross capex ($000s)</t>
        </is>
      </c>
      <c r="C12" s="14" t="n">
        <v>18500</v>
      </c>
      <c r="D12" s="15" t="inlineStr">
        <is>
          <t>Equipment + install + commissioning, cash at Year 0.</t>
        </is>
      </c>
    </row>
    <row r="13">
      <c r="B13" t="inlineStr">
        <is>
          <t>Useful life (years)</t>
        </is>
      </c>
      <c r="C13" s="13" t="n">
        <v>8</v>
      </c>
    </row>
    <row r="14">
      <c r="B14" t="inlineStr">
        <is>
          <t>Salvage at horizon ($000s)</t>
        </is>
      </c>
      <c r="C14" s="14" t="n">
        <v>1500</v>
      </c>
    </row>
    <row r="15">
      <c r="B15" t="inlineStr">
        <is>
          <t>Annual D&amp;A ($000s)</t>
        </is>
      </c>
      <c r="C15" s="16">
        <f>C12/C13</f>
        <v/>
      </c>
      <c r="D15" s="15" t="inlineStr">
        <is>
          <t>Straight-line to zero. Salvage is taxed in full at exit (book value 0).</t>
        </is>
      </c>
    </row>
    <row r="16">
      <c r="B16" t="inlineStr">
        <is>
          <t>% of capex spent in Year 0</t>
        </is>
      </c>
      <c r="C16" s="17" t="n">
        <v>1</v>
      </c>
    </row>
    <row r="17">
      <c r="B17" t="inlineStr">
        <is>
          <t>Year 0 capex</t>
        </is>
      </c>
      <c r="C17" s="16">
        <f>C12*C16</f>
        <v/>
      </c>
    </row>
    <row r="18">
      <c r="B18" t="inlineStr">
        <is>
          <t>Year 1 capex (late spend)</t>
        </is>
      </c>
      <c r="C18" s="16">
        <f>C12*(1-C16)</f>
        <v/>
      </c>
    </row>
    <row r="20">
      <c r="B20" s="8" t="inlineStr">
        <is>
          <t>Returns hurdles</t>
        </is>
      </c>
      <c r="C20" s="9" t="n"/>
    </row>
    <row r="21">
      <c r="B21" t="inlineStr">
        <is>
          <t>WACC</t>
        </is>
      </c>
      <c r="C21" s="17" t="n">
        <v>0.09</v>
      </c>
    </row>
    <row r="22">
      <c r="B22" t="inlineStr">
        <is>
          <t>Tax rate</t>
        </is>
      </c>
      <c r="C22" s="17" t="n">
        <v>0.25</v>
      </c>
    </row>
    <row r="23">
      <c r="B23" t="inlineStr">
        <is>
          <t>Hurdle IRR</t>
        </is>
      </c>
      <c r="C23" s="17" t="n">
        <v>0.15</v>
      </c>
    </row>
    <row r="24">
      <c r="B24" t="inlineStr">
        <is>
          <t>Max payback (years)</t>
        </is>
      </c>
      <c r="C24" s="18" t="n">
        <v>5</v>
      </c>
    </row>
    <row r="26">
      <c r="B26" s="8" t="inlineStr">
        <is>
          <t>Capacity story (000 cases / year)</t>
        </is>
      </c>
      <c r="C26" s="9" t="n"/>
    </row>
    <row r="27">
      <c r="B27" t="inlineStr">
        <is>
          <t>Current annual volume</t>
        </is>
      </c>
      <c r="C27" s="19" t="n">
        <v>13200</v>
      </c>
    </row>
    <row r="28">
      <c r="B28" t="inlineStr">
        <is>
          <t>Current capacity</t>
        </is>
      </c>
      <c r="C28" s="19" t="n">
        <v>14000</v>
      </c>
    </row>
    <row r="29">
      <c r="B29" t="inlineStr">
        <is>
          <t>Current utilization</t>
        </is>
      </c>
      <c r="C29" s="20">
        <f>IF(C28=0,0,C27/C28)</f>
        <v/>
      </c>
      <c r="D29" s="15" t="inlineStr">
        <is>
          <t>Sample is tight (~94%) — overtime and co-pack.</t>
        </is>
      </c>
    </row>
    <row r="30">
      <c r="B30" t="inlineStr">
        <is>
          <t>New line nameplate capacity</t>
        </is>
      </c>
      <c r="C30" s="19" t="n">
        <v>4500</v>
      </c>
    </row>
    <row r="31">
      <c r="B31" t="inlineStr">
        <is>
          <t>Post-project capacity</t>
        </is>
      </c>
      <c r="C31" s="21">
        <f>C28+C30</f>
        <v/>
      </c>
    </row>
    <row r="32">
      <c r="B32" t="inlineStr">
        <is>
          <t>Incremental volume lift (full run-rate)</t>
        </is>
      </c>
      <c r="C32" s="19" t="n">
        <v>1800</v>
      </c>
      <c r="D32" s="15" t="inlineStr">
        <is>
          <t>New demand + fill-rate recovery the old line could not hold.</t>
        </is>
      </c>
    </row>
    <row r="33">
      <c r="B33" t="inlineStr">
        <is>
          <t>Post-project volume</t>
        </is>
      </c>
      <c r="C33" s="21">
        <f>C27+C32</f>
        <v/>
      </c>
    </row>
    <row r="34">
      <c r="B34" t="inlineStr">
        <is>
          <t>Post-project utilization</t>
        </is>
      </c>
      <c r="C34" s="20">
        <f>IF(C31=0,0,C33/C31)</f>
        <v/>
      </c>
    </row>
    <row r="36">
      <c r="B36" s="8" t="inlineStr">
        <is>
          <t>Economics ($ per case unless noted)</t>
        </is>
      </c>
      <c r="C36" s="9" t="n"/>
    </row>
    <row r="37">
      <c r="B37" t="inlineStr">
        <is>
          <t>Net price on volume lift ($/case)</t>
        </is>
      </c>
      <c r="C37" s="22" t="n">
        <v>12.4</v>
      </c>
    </row>
    <row r="38">
      <c r="B38" t="inlineStr">
        <is>
          <t>Variable cost on volume lift ($/case)</t>
        </is>
      </c>
      <c r="C38" s="22" t="n">
        <v>8.15</v>
      </c>
    </row>
    <row r="39">
      <c r="B39" t="inlineStr">
        <is>
          <t>Contribution $/case on lift</t>
        </is>
      </c>
      <c r="C39" s="23">
        <f>C37-C38</f>
        <v/>
      </c>
    </row>
    <row r="40">
      <c r="B40" t="inlineStr">
        <is>
          <t>Conversion savings on base volume ($/case)</t>
        </is>
      </c>
      <c r="C40" s="22" t="n">
        <v>0.32</v>
      </c>
      <c r="D40" s="15" t="inlineStr">
        <is>
          <t>Labor, energy, scrap on the 13,200k existing cases.</t>
        </is>
      </c>
    </row>
    <row r="41">
      <c r="B41" t="inlineStr">
        <is>
          <t>Base volume that gets the savings (000 cases)</t>
        </is>
      </c>
      <c r="C41" s="21">
        <f>C27</f>
        <v/>
      </c>
    </row>
    <row r="42">
      <c r="B42" t="inlineStr">
        <is>
          <t>Incremental fixed opex ($000s / year)</t>
        </is>
      </c>
      <c r="C42" s="14" t="n">
        <v>920</v>
      </c>
      <c r="D42" s="15" t="inlineStr">
        <is>
          <t>Crew, maintenance, energy on the new line. Starts Year 1.</t>
        </is>
      </c>
    </row>
    <row r="43">
      <c r="B43" t="inlineStr">
        <is>
          <t>One-time start-up opex Year 1 ($000s)</t>
        </is>
      </c>
      <c r="C43" s="14" t="n">
        <v>350</v>
      </c>
    </row>
    <row r="44">
      <c r="B44" t="inlineStr">
        <is>
          <t>NWC % of full-run incremental revenue</t>
        </is>
      </c>
      <c r="C44" s="17" t="n">
        <v>0.08</v>
      </c>
    </row>
    <row r="45">
      <c r="B45" t="inlineStr">
        <is>
          <t>NWC investment Year 0 ($000s)</t>
        </is>
      </c>
      <c r="C45" s="16">
        <f>C44*C32*C37</f>
        <v/>
      </c>
      <c r="D45" s="15" t="inlineStr">
        <is>
          <t>Recovered at the horizon (Year 8).</t>
        </is>
      </c>
    </row>
    <row r="46">
      <c r="B46" t="inlineStr">
        <is>
          <t>Full-run incremental revenue ($000s)</t>
        </is>
      </c>
      <c r="C46" s="16">
        <f>C32*C37</f>
        <v/>
      </c>
    </row>
    <row r="47">
      <c r="B47" t="inlineStr">
        <is>
          <t>Full-run contribution ($000s)</t>
        </is>
      </c>
      <c r="C47" s="24">
        <f>C32*C39</f>
        <v/>
      </c>
    </row>
    <row r="48">
      <c r="B48" t="inlineStr">
        <is>
          <t>Full-run conversion savings ($000s)</t>
        </is>
      </c>
      <c r="C48" s="24">
        <f>C40*C41</f>
        <v/>
      </c>
    </row>
    <row r="50">
      <c r="B50" s="8" t="inlineStr">
        <is>
          <t>Ramp (share of full run-rate)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B51" s="25" t="inlineStr">
        <is>
          <t>Driver</t>
        </is>
      </c>
      <c r="C51" s="25" t="inlineStr">
        <is>
          <t>Year 1</t>
        </is>
      </c>
      <c r="D51" s="25" t="inlineStr">
        <is>
          <t>Year 2</t>
        </is>
      </c>
      <c r="E51" s="25" t="inlineStr">
        <is>
          <t>Year 3</t>
        </is>
      </c>
      <c r="F51" s="25" t="inlineStr">
        <is>
          <t>Year 4</t>
        </is>
      </c>
      <c r="G51" s="25" t="inlineStr">
        <is>
          <t>Year 5</t>
        </is>
      </c>
      <c r="H51" s="25" t="inlineStr">
        <is>
          <t>Year 6</t>
        </is>
      </c>
      <c r="I51" s="25" t="inlineStr">
        <is>
          <t>Year 7</t>
        </is>
      </c>
      <c r="J51" s="25" t="inlineStr">
        <is>
          <t>Year 8</t>
        </is>
      </c>
    </row>
    <row r="52">
      <c r="B52" s="26" t="inlineStr">
        <is>
          <t>Volume-lift ramp</t>
        </is>
      </c>
      <c r="C52" s="17" t="n">
        <v>0.55</v>
      </c>
      <c r="D52" s="17" t="n">
        <v>0.85</v>
      </c>
      <c r="E52" s="17" t="n">
        <v>1</v>
      </c>
      <c r="F52" s="17" t="n">
        <v>1</v>
      </c>
      <c r="G52" s="17" t="n">
        <v>1</v>
      </c>
      <c r="H52" s="17" t="n">
        <v>1</v>
      </c>
      <c r="I52" s="17" t="n">
        <v>1</v>
      </c>
      <c r="J52" s="17" t="n">
        <v>1</v>
      </c>
    </row>
    <row r="53">
      <c r="B53" s="26" t="inlineStr">
        <is>
          <t>Savings ramp</t>
        </is>
      </c>
      <c r="C53" s="17" t="n">
        <v>0.7</v>
      </c>
      <c r="D53" s="17" t="n">
        <v>0.95</v>
      </c>
      <c r="E53" s="17" t="n">
        <v>1</v>
      </c>
      <c r="F53" s="17" t="n">
        <v>1</v>
      </c>
      <c r="G53" s="17" t="n">
        <v>1</v>
      </c>
      <c r="H53" s="17" t="n">
        <v>1</v>
      </c>
      <c r="I53" s="17" t="n">
        <v>1</v>
      </c>
      <c r="J53" s="17" t="n">
        <v>1</v>
      </c>
    </row>
    <row r="55" ht="32" customHeight="1">
      <c r="B55" s="27" t="inlineStr">
        <is>
          <t>Volume ramp applies to the 1,800k-case lift. Savings ramp applies to conversion $ on the base volume. Year 0 is capex + NWC only (no operating ramp). Units: $000s and 000 cases.</t>
        </is>
      </c>
    </row>
  </sheetData>
  <mergeCells count="1">
    <mergeCell ref="C6:F6"/>
  </mergeCells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B2:K3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1" t="inlineStr">
        <is>
          <t>Project cash flows</t>
        </is>
      </c>
    </row>
    <row r="3">
      <c r="B3" s="3" t="inlineStr">
        <is>
          <t>Unlevered. Year 0 = capex + NWC. Years 1–8 = ramp × drivers − tax + D&amp;A. Horizon recovers NWC and after-tax salvage.</t>
        </is>
      </c>
    </row>
    <row r="5">
      <c r="B5" s="8" t="inlineStr">
        <is>
          <t>Build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B6" s="25" t="inlineStr">
        <is>
          <t>Line</t>
        </is>
      </c>
      <c r="C6" s="25" t="inlineStr">
        <is>
          <t>Year 0</t>
        </is>
      </c>
      <c r="D6" s="25" t="inlineStr">
        <is>
          <t>Year 1</t>
        </is>
      </c>
      <c r="E6" s="25" t="inlineStr">
        <is>
          <t>Year 2</t>
        </is>
      </c>
      <c r="F6" s="25" t="inlineStr">
        <is>
          <t>Year 3</t>
        </is>
      </c>
      <c r="G6" s="25" t="inlineStr">
        <is>
          <t>Year 4</t>
        </is>
      </c>
      <c r="H6" s="25" t="inlineStr">
        <is>
          <t>Year 5</t>
        </is>
      </c>
      <c r="I6" s="25" t="inlineStr">
        <is>
          <t>Year 6</t>
        </is>
      </c>
      <c r="J6" s="25" t="inlineStr">
        <is>
          <t>Year 7</t>
        </is>
      </c>
      <c r="K6" s="25" t="inlineStr">
        <is>
          <t>Year 8</t>
        </is>
      </c>
    </row>
    <row r="7">
      <c r="B7" s="28" t="inlineStr">
        <is>
          <t>Year</t>
        </is>
      </c>
      <c r="C7" s="29" t="n">
        <v>0</v>
      </c>
      <c r="D7" s="29" t="n">
        <v>1</v>
      </c>
      <c r="E7" s="29" t="n">
        <v>2</v>
      </c>
      <c r="F7" s="29" t="n">
        <v>3</v>
      </c>
      <c r="G7" s="29" t="n">
        <v>4</v>
      </c>
      <c r="H7" s="29" t="n">
        <v>5</v>
      </c>
      <c r="I7" s="29" t="n">
        <v>6</v>
      </c>
      <c r="J7" s="29" t="n">
        <v>7</v>
      </c>
      <c r="K7" s="29" t="n">
        <v>8</v>
      </c>
    </row>
    <row r="8">
      <c r="B8" s="28" t="inlineStr">
        <is>
          <t>Volume-lift ramp</t>
        </is>
      </c>
      <c r="C8" s="20" t="n">
        <v>0</v>
      </c>
      <c r="D8" s="20">
        <f>'01_Assumptions'!C52</f>
        <v/>
      </c>
      <c r="E8" s="20">
        <f>'01_Assumptions'!D52</f>
        <v/>
      </c>
      <c r="F8" s="20">
        <f>'01_Assumptions'!E52</f>
        <v/>
      </c>
      <c r="G8" s="20">
        <f>'01_Assumptions'!F52</f>
        <v/>
      </c>
      <c r="H8" s="20">
        <f>'01_Assumptions'!G52</f>
        <v/>
      </c>
      <c r="I8" s="20">
        <f>'01_Assumptions'!H52</f>
        <v/>
      </c>
      <c r="J8" s="20">
        <f>'01_Assumptions'!I52</f>
        <v/>
      </c>
      <c r="K8" s="20">
        <f>'01_Assumptions'!J52</f>
        <v/>
      </c>
    </row>
    <row r="9">
      <c r="B9" s="28" t="inlineStr">
        <is>
          <t>Savings ramp</t>
        </is>
      </c>
      <c r="C9" s="20" t="n">
        <v>0</v>
      </c>
      <c r="D9" s="20">
        <f>'01_Assumptions'!C53</f>
        <v/>
      </c>
      <c r="E9" s="20">
        <f>'01_Assumptions'!D53</f>
        <v/>
      </c>
      <c r="F9" s="20">
        <f>'01_Assumptions'!E53</f>
        <v/>
      </c>
      <c r="G9" s="20">
        <f>'01_Assumptions'!F53</f>
        <v/>
      </c>
      <c r="H9" s="20">
        <f>'01_Assumptions'!G53</f>
        <v/>
      </c>
      <c r="I9" s="20">
        <f>'01_Assumptions'!H53</f>
        <v/>
      </c>
      <c r="J9" s="20">
        <f>'01_Assumptions'!I53</f>
        <v/>
      </c>
      <c r="K9" s="20">
        <f>'01_Assumptions'!J53</f>
        <v/>
      </c>
    </row>
    <row r="10">
      <c r="B10" s="28" t="inlineStr">
        <is>
          <t>Incremental volume (000 cases)</t>
        </is>
      </c>
      <c r="C10" s="30">
        <f>'01_Assumptions'!$C$32*C8</f>
        <v/>
      </c>
      <c r="D10" s="30">
        <f>'01_Assumptions'!$C$32*D8</f>
        <v/>
      </c>
      <c r="E10" s="30">
        <f>'01_Assumptions'!$C$32*E8</f>
        <v/>
      </c>
      <c r="F10" s="30">
        <f>'01_Assumptions'!$C$32*F8</f>
        <v/>
      </c>
      <c r="G10" s="30">
        <f>'01_Assumptions'!$C$32*G8</f>
        <v/>
      </c>
      <c r="H10" s="30">
        <f>'01_Assumptions'!$C$32*H8</f>
        <v/>
      </c>
      <c r="I10" s="30">
        <f>'01_Assumptions'!$C$32*I8</f>
        <v/>
      </c>
      <c r="J10" s="30">
        <f>'01_Assumptions'!$C$32*J8</f>
        <v/>
      </c>
      <c r="K10" s="30">
        <f>'01_Assumptions'!$C$32*K8</f>
        <v/>
      </c>
    </row>
    <row r="11">
      <c r="B11" s="28" t="inlineStr">
        <is>
          <t>Incremental revenue</t>
        </is>
      </c>
      <c r="C11" s="16">
        <f>C10*'01_Assumptions'!$C$37</f>
        <v/>
      </c>
      <c r="D11" s="16">
        <f>D10*'01_Assumptions'!$C$37</f>
        <v/>
      </c>
      <c r="E11" s="16">
        <f>E10*'01_Assumptions'!$C$37</f>
        <v/>
      </c>
      <c r="F11" s="16">
        <f>F10*'01_Assumptions'!$C$37</f>
        <v/>
      </c>
      <c r="G11" s="16">
        <f>G10*'01_Assumptions'!$C$37</f>
        <v/>
      </c>
      <c r="H11" s="16">
        <f>H10*'01_Assumptions'!$C$37</f>
        <v/>
      </c>
      <c r="I11" s="16">
        <f>I10*'01_Assumptions'!$C$37</f>
        <v/>
      </c>
      <c r="J11" s="16">
        <f>J10*'01_Assumptions'!$C$37</f>
        <v/>
      </c>
      <c r="K11" s="16">
        <f>K10*'01_Assumptions'!$C$37</f>
        <v/>
      </c>
    </row>
    <row r="12">
      <c r="B12" s="28" t="inlineStr">
        <is>
          <t>Incremental variable cost</t>
        </is>
      </c>
      <c r="C12" s="16">
        <f>C10*'01_Assumptions'!$C$38</f>
        <v/>
      </c>
      <c r="D12" s="16">
        <f>D10*'01_Assumptions'!$C$38</f>
        <v/>
      </c>
      <c r="E12" s="16">
        <f>E10*'01_Assumptions'!$C$38</f>
        <v/>
      </c>
      <c r="F12" s="16">
        <f>F10*'01_Assumptions'!$C$38</f>
        <v/>
      </c>
      <c r="G12" s="16">
        <f>G10*'01_Assumptions'!$C$38</f>
        <v/>
      </c>
      <c r="H12" s="16">
        <f>H10*'01_Assumptions'!$C$38</f>
        <v/>
      </c>
      <c r="I12" s="16">
        <f>I10*'01_Assumptions'!$C$38</f>
        <v/>
      </c>
      <c r="J12" s="16">
        <f>J10*'01_Assumptions'!$C$38</f>
        <v/>
      </c>
      <c r="K12" s="16">
        <f>K10*'01_Assumptions'!$C$38</f>
        <v/>
      </c>
    </row>
    <row r="13">
      <c r="B13" s="26" t="inlineStr">
        <is>
          <t>Incremental contribution</t>
        </is>
      </c>
      <c r="C13" s="24">
        <f>C11-C12</f>
        <v/>
      </c>
      <c r="D13" s="24">
        <f>D11-D12</f>
        <v/>
      </c>
      <c r="E13" s="24">
        <f>E11-E12</f>
        <v/>
      </c>
      <c r="F13" s="24">
        <f>F11-F12</f>
        <v/>
      </c>
      <c r="G13" s="24">
        <f>G11-G12</f>
        <v/>
      </c>
      <c r="H13" s="24">
        <f>H11-H12</f>
        <v/>
      </c>
      <c r="I13" s="24">
        <f>I11-I12</f>
        <v/>
      </c>
      <c r="J13" s="24">
        <f>J11-J12</f>
        <v/>
      </c>
      <c r="K13" s="24">
        <f>K11-K12</f>
        <v/>
      </c>
    </row>
    <row r="14">
      <c r="B14" s="28" t="inlineStr">
        <is>
          <t>Conversion savings</t>
        </is>
      </c>
      <c r="C14" s="16">
        <f>'01_Assumptions'!$C$40*'01_Assumptions'!$C$41*C9</f>
        <v/>
      </c>
      <c r="D14" s="16">
        <f>'01_Assumptions'!$C$40*'01_Assumptions'!$C$41*D9</f>
        <v/>
      </c>
      <c r="E14" s="16">
        <f>'01_Assumptions'!$C$40*'01_Assumptions'!$C$41*E9</f>
        <v/>
      </c>
      <c r="F14" s="16">
        <f>'01_Assumptions'!$C$40*'01_Assumptions'!$C$41*F9</f>
        <v/>
      </c>
      <c r="G14" s="16">
        <f>'01_Assumptions'!$C$40*'01_Assumptions'!$C$41*G9</f>
        <v/>
      </c>
      <c r="H14" s="16">
        <f>'01_Assumptions'!$C$40*'01_Assumptions'!$C$41*H9</f>
        <v/>
      </c>
      <c r="I14" s="16">
        <f>'01_Assumptions'!$C$40*'01_Assumptions'!$C$41*I9</f>
        <v/>
      </c>
      <c r="J14" s="16">
        <f>'01_Assumptions'!$C$40*'01_Assumptions'!$C$41*J9</f>
        <v/>
      </c>
      <c r="K14" s="16">
        <f>'01_Assumptions'!$C$40*'01_Assumptions'!$C$41*K9</f>
        <v/>
      </c>
    </row>
    <row r="15">
      <c r="B15" s="28" t="inlineStr">
        <is>
          <t>Incremental fixed opex</t>
        </is>
      </c>
      <c r="C15" s="16" t="n">
        <v>0</v>
      </c>
      <c r="D15" s="16">
        <f>'01_Assumptions'!$C$42</f>
        <v/>
      </c>
      <c r="E15" s="16">
        <f>'01_Assumptions'!$C$42</f>
        <v/>
      </c>
      <c r="F15" s="16">
        <f>'01_Assumptions'!$C$42</f>
        <v/>
      </c>
      <c r="G15" s="16">
        <f>'01_Assumptions'!$C$42</f>
        <v/>
      </c>
      <c r="H15" s="16">
        <f>'01_Assumptions'!$C$42</f>
        <v/>
      </c>
      <c r="I15" s="16">
        <f>'01_Assumptions'!$C$42</f>
        <v/>
      </c>
      <c r="J15" s="16">
        <f>'01_Assumptions'!$C$42</f>
        <v/>
      </c>
      <c r="K15" s="16">
        <f>'01_Assumptions'!$C$42</f>
        <v/>
      </c>
    </row>
    <row r="16">
      <c r="B16" s="28" t="inlineStr">
        <is>
          <t>Start-up opex</t>
        </is>
      </c>
      <c r="C16" s="16" t="n">
        <v>0</v>
      </c>
      <c r="D16" s="16">
        <f>'01_Assumptions'!$C$43</f>
        <v/>
      </c>
      <c r="E16" s="16" t="n">
        <v>0</v>
      </c>
      <c r="F16" s="16" t="n">
        <v>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</row>
    <row r="17">
      <c r="B17" s="26" t="inlineStr">
        <is>
          <t>EBITDA</t>
        </is>
      </c>
      <c r="C17" s="24">
        <f>C13+C14-C15-C16</f>
        <v/>
      </c>
      <c r="D17" s="24">
        <f>D13+D14-D15-D16</f>
        <v/>
      </c>
      <c r="E17" s="24">
        <f>E13+E14-E15-E16</f>
        <v/>
      </c>
      <c r="F17" s="24">
        <f>F13+F14-F15-F16</f>
        <v/>
      </c>
      <c r="G17" s="24">
        <f>G13+G14-G15-G16</f>
        <v/>
      </c>
      <c r="H17" s="24">
        <f>H13+H14-H15-H16</f>
        <v/>
      </c>
      <c r="I17" s="24">
        <f>I13+I14-I15-I16</f>
        <v/>
      </c>
      <c r="J17" s="24">
        <f>J13+J14-J15-J16</f>
        <v/>
      </c>
      <c r="K17" s="24">
        <f>K13+K14-K15-K16</f>
        <v/>
      </c>
    </row>
    <row r="18">
      <c r="B18" s="28" t="inlineStr">
        <is>
          <t>D&amp;A</t>
        </is>
      </c>
      <c r="C18" s="16" t="n">
        <v>0</v>
      </c>
      <c r="D18" s="16">
        <f>'01_Assumptions'!$C$15</f>
        <v/>
      </c>
      <c r="E18" s="16">
        <f>'01_Assumptions'!$C$15</f>
        <v/>
      </c>
      <c r="F18" s="16">
        <f>'01_Assumptions'!$C$15</f>
        <v/>
      </c>
      <c r="G18" s="16">
        <f>'01_Assumptions'!$C$15</f>
        <v/>
      </c>
      <c r="H18" s="16">
        <f>'01_Assumptions'!$C$15</f>
        <v/>
      </c>
      <c r="I18" s="16">
        <f>'01_Assumptions'!$C$15</f>
        <v/>
      </c>
      <c r="J18" s="16">
        <f>'01_Assumptions'!$C$15</f>
        <v/>
      </c>
      <c r="K18" s="16">
        <f>'01_Assumptions'!$C$15</f>
        <v/>
      </c>
    </row>
    <row r="19">
      <c r="B19" s="28" t="inlineStr">
        <is>
          <t>EBIT</t>
        </is>
      </c>
      <c r="C19" s="16">
        <f>C17-C18</f>
        <v/>
      </c>
      <c r="D19" s="16">
        <f>D17-D18</f>
        <v/>
      </c>
      <c r="E19" s="16">
        <f>E17-E18</f>
        <v/>
      </c>
      <c r="F19" s="16">
        <f>F17-F18</f>
        <v/>
      </c>
      <c r="G19" s="16">
        <f>G17-G18</f>
        <v/>
      </c>
      <c r="H19" s="16">
        <f>H17-H18</f>
        <v/>
      </c>
      <c r="I19" s="16">
        <f>I17-I18</f>
        <v/>
      </c>
      <c r="J19" s="16">
        <f>J17-J18</f>
        <v/>
      </c>
      <c r="K19" s="16">
        <f>K17-K18</f>
        <v/>
      </c>
    </row>
    <row r="20">
      <c r="B20" s="28" t="inlineStr">
        <is>
          <t>Tax</t>
        </is>
      </c>
      <c r="C20" s="16">
        <f>'01_Assumptions'!$C$22*C19</f>
        <v/>
      </c>
      <c r="D20" s="16">
        <f>'01_Assumptions'!$C$22*D19</f>
        <v/>
      </c>
      <c r="E20" s="16">
        <f>'01_Assumptions'!$C$22*E19</f>
        <v/>
      </c>
      <c r="F20" s="16">
        <f>'01_Assumptions'!$C$22*F19</f>
        <v/>
      </c>
      <c r="G20" s="16">
        <f>'01_Assumptions'!$C$22*G19</f>
        <v/>
      </c>
      <c r="H20" s="16">
        <f>'01_Assumptions'!$C$22*H19</f>
        <v/>
      </c>
      <c r="I20" s="16">
        <f>'01_Assumptions'!$C$22*I19</f>
        <v/>
      </c>
      <c r="J20" s="16">
        <f>'01_Assumptions'!$C$22*J19</f>
        <v/>
      </c>
      <c r="K20" s="16">
        <f>'01_Assumptions'!$C$22*K19</f>
        <v/>
      </c>
    </row>
    <row r="21">
      <c r="B21" s="26" t="inlineStr">
        <is>
          <t>NOPAT</t>
        </is>
      </c>
      <c r="C21" s="24">
        <f>C19-C20</f>
        <v/>
      </c>
      <c r="D21" s="24">
        <f>D19-D20</f>
        <v/>
      </c>
      <c r="E21" s="24">
        <f>E19-E20</f>
        <v/>
      </c>
      <c r="F21" s="24">
        <f>F19-F20</f>
        <v/>
      </c>
      <c r="G21" s="24">
        <f>G19-G20</f>
        <v/>
      </c>
      <c r="H21" s="24">
        <f>H19-H20</f>
        <v/>
      </c>
      <c r="I21" s="24">
        <f>I19-I20</f>
        <v/>
      </c>
      <c r="J21" s="24">
        <f>J19-J20</f>
        <v/>
      </c>
      <c r="K21" s="24">
        <f>K19-K20</f>
        <v/>
      </c>
    </row>
    <row r="22">
      <c r="B22" s="28" t="inlineStr">
        <is>
          <t>+ D&amp;A</t>
        </is>
      </c>
      <c r="C22" s="16">
        <f>C18</f>
        <v/>
      </c>
      <c r="D22" s="16">
        <f>D18</f>
        <v/>
      </c>
      <c r="E22" s="16">
        <f>E18</f>
        <v/>
      </c>
      <c r="F22" s="16">
        <f>F18</f>
        <v/>
      </c>
      <c r="G22" s="16">
        <f>G18</f>
        <v/>
      </c>
      <c r="H22" s="16">
        <f>H18</f>
        <v/>
      </c>
      <c r="I22" s="16">
        <f>I18</f>
        <v/>
      </c>
      <c r="J22" s="16">
        <f>J18</f>
        <v/>
      </c>
      <c r="K22" s="16">
        <f>K18</f>
        <v/>
      </c>
    </row>
    <row r="23">
      <c r="B23" s="28" t="inlineStr">
        <is>
          <t>− Capex</t>
        </is>
      </c>
      <c r="C23" s="16">
        <f>'01_Assumptions'!C17</f>
        <v/>
      </c>
      <c r="D23" s="16">
        <f>'01_Assumptions'!C18</f>
        <v/>
      </c>
      <c r="E23" s="16" t="n">
        <v>0</v>
      </c>
      <c r="F23" s="16" t="n">
        <v>0</v>
      </c>
      <c r="G23" s="16" t="n">
        <v>0</v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B24" s="28" t="inlineStr">
        <is>
          <t>− ΔNWC (investment)</t>
        </is>
      </c>
      <c r="C24" s="16">
        <f>'01_Assumptions'!C45</f>
        <v/>
      </c>
      <c r="D24" s="16" t="n">
        <v>0</v>
      </c>
      <c r="E24" s="16" t="n">
        <v>0</v>
      </c>
      <c r="F24" s="16" t="n">
        <v>0</v>
      </c>
      <c r="G24" s="16" t="n">
        <v>0</v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B25" s="28" t="inlineStr">
        <is>
          <t>+ NWC recovery</t>
        </is>
      </c>
      <c r="C25" s="16" t="n">
        <v>0</v>
      </c>
      <c r="D25" s="16" t="n">
        <v>0</v>
      </c>
      <c r="E25" s="16" t="n">
        <v>0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>
        <f>'01_Assumptions'!C45</f>
        <v/>
      </c>
    </row>
    <row r="26">
      <c r="B26" s="28" t="inlineStr">
        <is>
          <t>+ After-tax salvage</t>
        </is>
      </c>
      <c r="C26" s="16" t="n">
        <v>0</v>
      </c>
      <c r="D26" s="16" t="n">
        <v>0</v>
      </c>
      <c r="E26" s="16" t="n">
        <v>0</v>
      </c>
      <c r="F26" s="16" t="n">
        <v>0</v>
      </c>
      <c r="G26" s="16" t="n">
        <v>0</v>
      </c>
      <c r="H26" s="16" t="n">
        <v>0</v>
      </c>
      <c r="I26" s="16" t="n">
        <v>0</v>
      </c>
      <c r="J26" s="16" t="n">
        <v>0</v>
      </c>
      <c r="K26" s="16">
        <f>'01_Assumptions'!C14*(1-'01_Assumptions'!C22)</f>
        <v/>
      </c>
    </row>
    <row r="27">
      <c r="B27" s="26" t="inlineStr">
        <is>
          <t>Unlevered FCF</t>
        </is>
      </c>
      <c r="C27" s="24">
        <f>C21+C22-C23-C24+C25+C26</f>
        <v/>
      </c>
      <c r="D27" s="24">
        <f>D21+D22-D23-D24+D25+D26</f>
        <v/>
      </c>
      <c r="E27" s="24">
        <f>E21+E22-E23-E24+E25+E26</f>
        <v/>
      </c>
      <c r="F27" s="24">
        <f>F21+F22-F23-F24+F25+F26</f>
        <v/>
      </c>
      <c r="G27" s="24">
        <f>G21+G22-G23-G24+G25+G26</f>
        <v/>
      </c>
      <c r="H27" s="24">
        <f>H21+H22-H23-H24+H25+H26</f>
        <v/>
      </c>
      <c r="I27" s="24">
        <f>I21+I22-I23-I24+I25+I26</f>
        <v/>
      </c>
      <c r="J27" s="24">
        <f>J21+J22-J23-J24+J25+J26</f>
        <v/>
      </c>
      <c r="K27" s="24">
        <f>K21+K22-K23-K24+K25+K26</f>
        <v/>
      </c>
    </row>
    <row r="28">
      <c r="B28" s="28" t="inlineStr">
        <is>
          <t>Cumulative FCF</t>
        </is>
      </c>
      <c r="C28" s="16">
        <f>C27</f>
        <v/>
      </c>
      <c r="D28" s="24">
        <f>C28+D27</f>
        <v/>
      </c>
      <c r="E28" s="24">
        <f>D28+E27</f>
        <v/>
      </c>
      <c r="F28" s="24">
        <f>E28+F27</f>
        <v/>
      </c>
      <c r="G28" s="24">
        <f>F28+G27</f>
        <v/>
      </c>
      <c r="H28" s="24">
        <f>G28+H27</f>
        <v/>
      </c>
      <c r="I28" s="24">
        <f>H28+I27</f>
        <v/>
      </c>
      <c r="J28" s="24">
        <f>I28+J27</f>
        <v/>
      </c>
      <c r="K28" s="24">
        <f>J28+K27</f>
        <v/>
      </c>
    </row>
    <row r="29">
      <c r="B29" s="28" t="inlineStr">
        <is>
          <t>Discount factor</t>
        </is>
      </c>
      <c r="C29" s="31">
        <f>1/(1+'01_Assumptions'!$C$21)^0</f>
        <v/>
      </c>
      <c r="D29" s="31">
        <f>1/(1+'01_Assumptions'!$C$21)^1</f>
        <v/>
      </c>
      <c r="E29" s="31">
        <f>1/(1+'01_Assumptions'!$C$21)^2</f>
        <v/>
      </c>
      <c r="F29" s="31">
        <f>1/(1+'01_Assumptions'!$C$21)^3</f>
        <v/>
      </c>
      <c r="G29" s="31">
        <f>1/(1+'01_Assumptions'!$C$21)^4</f>
        <v/>
      </c>
      <c r="H29" s="31">
        <f>1/(1+'01_Assumptions'!$C$21)^5</f>
        <v/>
      </c>
      <c r="I29" s="31">
        <f>1/(1+'01_Assumptions'!$C$21)^6</f>
        <v/>
      </c>
      <c r="J29" s="31">
        <f>1/(1+'01_Assumptions'!$C$21)^7</f>
        <v/>
      </c>
      <c r="K29" s="31">
        <f>1/(1+'01_Assumptions'!$C$21)^8</f>
        <v/>
      </c>
    </row>
    <row r="30">
      <c r="B30" s="28" t="inlineStr">
        <is>
          <t>PV of FCF</t>
        </is>
      </c>
      <c r="C30" s="24">
        <f>C27*C29</f>
        <v/>
      </c>
      <c r="D30" s="24">
        <f>D27*D29</f>
        <v/>
      </c>
      <c r="E30" s="24">
        <f>E27*E29</f>
        <v/>
      </c>
      <c r="F30" s="24">
        <f>F27*F29</f>
        <v/>
      </c>
      <c r="G30" s="24">
        <f>G27*G29</f>
        <v/>
      </c>
      <c r="H30" s="24">
        <f>H27*H29</f>
        <v/>
      </c>
      <c r="I30" s="24">
        <f>I27*I29</f>
        <v/>
      </c>
      <c r="J30" s="24">
        <f>J27*J29</f>
        <v/>
      </c>
      <c r="K30" s="24">
        <f>K27*K29</f>
        <v/>
      </c>
    </row>
    <row r="32">
      <c r="B32" t="inlineStr">
        <is>
          <t>NPV (sum of PV)</t>
        </is>
      </c>
      <c r="C32" s="24">
        <f>SUM(C30:K30)</f>
        <v/>
      </c>
    </row>
    <row r="33">
      <c r="B33" t="inlineStr">
        <is>
          <t>Check: FCF0 + NPV(WACC, FCF1:FCF8)</t>
        </is>
      </c>
      <c r="C33" s="16">
        <f>C27+NPV('01_Assumptions'!C21,D27:K27)</f>
        <v/>
      </c>
      <c r="D33" s="15" t="inlineStr">
        <is>
          <t>Should match C32 (year-end convention).</t>
        </is>
      </c>
    </row>
    <row r="35">
      <c r="B35" s="15" t="inlineStr">
        <is>
          <t>Tax is simplified: tax × EBIT each year (no loss carryforward). Capex is not tax-deductible except via D&amp;A.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B2:K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6" customWidth="1" min="3" max="3"/>
    <col width="18" customWidth="1" min="4" max="4"/>
    <col width="2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Returns</t>
        </is>
      </c>
    </row>
    <row r="3">
      <c r="B3" s="3" t="inlineStr">
        <is>
          <t>NPV, IRR, payback, discounted payback, profitability index vs the hurdles on Assumptions.</t>
        </is>
      </c>
    </row>
    <row r="5">
      <c r="B5" s="8" t="inlineStr">
        <is>
          <t>Headline returns</t>
        </is>
      </c>
      <c r="C5" s="9" t="n"/>
      <c r="D5" s="9" t="n"/>
    </row>
    <row r="6">
      <c r="B6" t="inlineStr">
        <is>
          <t>NPV @ WACC ($000s)</t>
        </is>
      </c>
      <c r="C6" s="32">
        <f>'02_Cash_Flows'!C32</f>
        <v/>
      </c>
    </row>
    <row r="7">
      <c r="B7" t="inlineStr">
        <is>
          <t>IRR</t>
        </is>
      </c>
      <c r="C7" s="33">
        <f>IRR('02_Cash_Flows'!C27:K27)</f>
        <v/>
      </c>
    </row>
    <row r="8">
      <c r="B8" t="inlineStr">
        <is>
          <t>WACC (hurdle for NPV)</t>
        </is>
      </c>
      <c r="C8" s="20">
        <f>'01_Assumptions'!C21</f>
        <v/>
      </c>
    </row>
    <row r="9">
      <c r="B9" t="inlineStr">
        <is>
          <t>Hurdle IRR</t>
        </is>
      </c>
      <c r="C9" s="20">
        <f>'01_Assumptions'!C23</f>
        <v/>
      </c>
    </row>
    <row r="10">
      <c r="B10" t="inlineStr">
        <is>
          <t>Spread (IRR − WACC)</t>
        </is>
      </c>
      <c r="C10" s="34">
        <f>C7-C8</f>
        <v/>
      </c>
    </row>
    <row r="12">
      <c r="B12" s="8" t="inlineStr">
        <is>
          <t>Payback (undiscounted)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B13" s="25" t="inlineStr">
        <is>
          <t>Item</t>
        </is>
      </c>
      <c r="C13" s="25" t="inlineStr">
        <is>
          <t>Year 0</t>
        </is>
      </c>
      <c r="D13" s="25" t="inlineStr">
        <is>
          <t>Year 1</t>
        </is>
      </c>
      <c r="E13" s="25" t="inlineStr">
        <is>
          <t>Year 2</t>
        </is>
      </c>
      <c r="F13" s="25" t="inlineStr">
        <is>
          <t>Year 3</t>
        </is>
      </c>
      <c r="G13" s="25" t="inlineStr">
        <is>
          <t>Year 4</t>
        </is>
      </c>
      <c r="H13" s="25" t="inlineStr">
        <is>
          <t>Year 5</t>
        </is>
      </c>
      <c r="I13" s="25" t="inlineStr">
        <is>
          <t>Year 6</t>
        </is>
      </c>
      <c r="J13" s="25" t="inlineStr">
        <is>
          <t>Year 7</t>
        </is>
      </c>
      <c r="K13" s="25" t="inlineStr">
        <is>
          <t>Year 8</t>
        </is>
      </c>
    </row>
    <row r="14">
      <c r="B14" t="inlineStr">
        <is>
          <t>FCF</t>
        </is>
      </c>
      <c r="C14" s="16">
        <f>'02_Cash_Flows'!C27</f>
        <v/>
      </c>
      <c r="D14" s="16">
        <f>'02_Cash_Flows'!D27</f>
        <v/>
      </c>
      <c r="E14" s="16">
        <f>'02_Cash_Flows'!E27</f>
        <v/>
      </c>
      <c r="F14" s="16">
        <f>'02_Cash_Flows'!F27</f>
        <v/>
      </c>
      <c r="G14" s="16">
        <f>'02_Cash_Flows'!G27</f>
        <v/>
      </c>
      <c r="H14" s="16">
        <f>'02_Cash_Flows'!H27</f>
        <v/>
      </c>
      <c r="I14" s="16">
        <f>'02_Cash_Flows'!I27</f>
        <v/>
      </c>
      <c r="J14" s="16">
        <f>'02_Cash_Flows'!J27</f>
        <v/>
      </c>
      <c r="K14" s="16">
        <f>'02_Cash_Flows'!K27</f>
        <v/>
      </c>
    </row>
    <row r="15">
      <c r="B15" t="inlineStr">
        <is>
          <t>Cumulative FCF</t>
        </is>
      </c>
      <c r="C15" s="16">
        <f>'02_Cash_Flows'!C28</f>
        <v/>
      </c>
      <c r="D15" s="16">
        <f>'02_Cash_Flows'!D28</f>
        <v/>
      </c>
      <c r="E15" s="16">
        <f>'02_Cash_Flows'!E28</f>
        <v/>
      </c>
      <c r="F15" s="16">
        <f>'02_Cash_Flows'!F28</f>
        <v/>
      </c>
      <c r="G15" s="16">
        <f>'02_Cash_Flows'!G28</f>
        <v/>
      </c>
      <c r="H15" s="16">
        <f>'02_Cash_Flows'!H28</f>
        <v/>
      </c>
      <c r="I15" s="16">
        <f>'02_Cash_Flows'!I28</f>
        <v/>
      </c>
      <c r="J15" s="16">
        <f>'02_Cash_Flows'!J28</f>
        <v/>
      </c>
      <c r="K15" s="16">
        <f>'02_Cash_Flows'!K28</f>
        <v/>
      </c>
    </row>
    <row r="16">
      <c r="B16" t="inlineStr">
        <is>
          <t>Years counted</t>
        </is>
      </c>
      <c r="C16" s="35" t="n">
        <v>0</v>
      </c>
      <c r="D16" s="35">
        <f>IF(D15&lt;0,1,IF(C15&lt;0,IF(D14=0,1,-C15/D14),0))</f>
        <v/>
      </c>
      <c r="E16" s="35">
        <f>IF(E15&lt;0,1,IF(D15&lt;0,IF(E14=0,1,-D15/E14),0))</f>
        <v/>
      </c>
      <c r="F16" s="35">
        <f>IF(F15&lt;0,1,IF(E15&lt;0,IF(F14=0,1,-E15/F14),0))</f>
        <v/>
      </c>
      <c r="G16" s="35">
        <f>IF(G15&lt;0,1,IF(F15&lt;0,IF(G14=0,1,-F15/G14),0))</f>
        <v/>
      </c>
      <c r="H16" s="35">
        <f>IF(H15&lt;0,1,IF(G15&lt;0,IF(H14=0,1,-G15/H14),0))</f>
        <v/>
      </c>
      <c r="I16" s="35">
        <f>IF(I15&lt;0,1,IF(H15&lt;0,IF(I14=0,1,-H15/I14),0))</f>
        <v/>
      </c>
      <c r="J16" s="35">
        <f>IF(J15&lt;0,1,IF(I15&lt;0,IF(J14=0,1,-I15/J14),0))</f>
        <v/>
      </c>
      <c r="K16" s="35">
        <f>IF(K15&lt;0,1,IF(J15&lt;0,IF(K14=0,1,-J15/K14),0))</f>
        <v/>
      </c>
    </row>
    <row r="17">
      <c r="B17" t="inlineStr">
        <is>
          <t>Undiscounted payback (years)</t>
        </is>
      </c>
      <c r="C17" s="23">
        <f>SUM(C16:K16)</f>
        <v/>
      </c>
      <c r="D17" s="15" t="inlineStr">
        <is>
          <t>First crossing of cumulative FCF ≥ 0, interpolated inside that year.</t>
        </is>
      </c>
    </row>
    <row r="18">
      <c r="B18" t="inlineStr">
        <is>
          <t>Max payback (hurdle)</t>
        </is>
      </c>
      <c r="C18" s="35">
        <f>'01_Assumptions'!C24</f>
        <v/>
      </c>
    </row>
    <row r="19">
      <c r="B19" t="inlineStr">
        <is>
          <t>PV of FCF</t>
        </is>
      </c>
      <c r="C19" s="16">
        <f>'02_Cash_Flows'!C30</f>
        <v/>
      </c>
      <c r="D19" s="16">
        <f>'02_Cash_Flows'!D30</f>
        <v/>
      </c>
      <c r="E19" s="16">
        <f>'02_Cash_Flows'!E30</f>
        <v/>
      </c>
      <c r="F19" s="16">
        <f>'02_Cash_Flows'!F30</f>
        <v/>
      </c>
      <c r="G19" s="16">
        <f>'02_Cash_Flows'!G30</f>
        <v/>
      </c>
      <c r="H19" s="16">
        <f>'02_Cash_Flows'!H30</f>
        <v/>
      </c>
      <c r="I19" s="16">
        <f>'02_Cash_Flows'!I30</f>
        <v/>
      </c>
      <c r="J19" s="16">
        <f>'02_Cash_Flows'!J30</f>
        <v/>
      </c>
      <c r="K19" s="16">
        <f>'02_Cash_Flows'!K30</f>
        <v/>
      </c>
    </row>
    <row r="20">
      <c r="B20" t="inlineStr">
        <is>
          <t>Cumulative PV</t>
        </is>
      </c>
      <c r="C20" s="16">
        <f>C19</f>
        <v/>
      </c>
      <c r="D20" s="16">
        <f>C20+D19</f>
        <v/>
      </c>
      <c r="E20" s="16">
        <f>D20+E19</f>
        <v/>
      </c>
      <c r="F20" s="16">
        <f>E20+F19</f>
        <v/>
      </c>
      <c r="G20" s="16">
        <f>F20+G19</f>
        <v/>
      </c>
      <c r="H20" s="16">
        <f>G20+H19</f>
        <v/>
      </c>
      <c r="I20" s="16">
        <f>H20+I19</f>
        <v/>
      </c>
      <c r="J20" s="16">
        <f>I20+J19</f>
        <v/>
      </c>
      <c r="K20" s="16">
        <f>J20+K19</f>
        <v/>
      </c>
    </row>
    <row r="21">
      <c r="B21" t="inlineStr">
        <is>
          <t>Years counted (discounted)</t>
        </is>
      </c>
      <c r="C21" s="35" t="n">
        <v>0</v>
      </c>
      <c r="D21" s="35">
        <f>IF(D20&lt;0,1,IF(C20&lt;0,IF(D19=0,1,-C20/D19),0))</f>
        <v/>
      </c>
      <c r="E21" s="35">
        <f>IF(E20&lt;0,1,IF(D20&lt;0,IF(E19=0,1,-D20/E19),0))</f>
        <v/>
      </c>
      <c r="F21" s="35">
        <f>IF(F20&lt;0,1,IF(E20&lt;0,IF(F19=0,1,-E20/F19),0))</f>
        <v/>
      </c>
      <c r="G21" s="35">
        <f>IF(G20&lt;0,1,IF(F20&lt;0,IF(G19=0,1,-F20/G19),0))</f>
        <v/>
      </c>
      <c r="H21" s="35">
        <f>IF(H20&lt;0,1,IF(G20&lt;0,IF(H19=0,1,-G20/H19),0))</f>
        <v/>
      </c>
      <c r="I21" s="35">
        <f>IF(I20&lt;0,1,IF(H20&lt;0,IF(I19=0,1,-H20/I19),0))</f>
        <v/>
      </c>
      <c r="J21" s="35">
        <f>IF(J20&lt;0,1,IF(I20&lt;0,IF(J19=0,1,-I20/J19),0))</f>
        <v/>
      </c>
      <c r="K21" s="35">
        <f>IF(K20&lt;0,1,IF(J20&lt;0,IF(K19=0,1,-J20/K19),0))</f>
        <v/>
      </c>
    </row>
    <row r="22">
      <c r="B22" t="inlineStr">
        <is>
          <t>Discounted payback (years)</t>
        </is>
      </c>
      <c r="C22" s="23">
        <f>SUM(C21:K21)</f>
        <v/>
      </c>
    </row>
    <row r="24">
      <c r="B24" s="8" t="inlineStr">
        <is>
          <t>Profitability index and simple ROI</t>
        </is>
      </c>
      <c r="C24" s="9" t="n"/>
      <c r="D24" s="9" t="n"/>
    </row>
    <row r="25">
      <c r="B25" t="inlineStr">
        <is>
          <t>PV of operating inflows (Y1–8)</t>
        </is>
      </c>
      <c r="C25" s="16">
        <f>SUM('02_Cash_Flows'!D30:K30)</f>
        <v/>
      </c>
    </row>
    <row r="26">
      <c r="B26" t="inlineStr">
        <is>
          <t>Initial investment (Y0 outflow)</t>
        </is>
      </c>
      <c r="C26" s="16">
        <f>-'02_Cash_Flows'!C27</f>
        <v/>
      </c>
    </row>
    <row r="27">
      <c r="B27" t="inlineStr">
        <is>
          <t>Profitability index (PV inflows / Y0 invest)</t>
        </is>
      </c>
      <c r="C27" s="23">
        <f>IF(C26=0,0,C25/C26)</f>
        <v/>
      </c>
      <c r="D27" s="15" t="inlineStr">
        <is>
          <t>PI &gt; 1 iff NPV &gt; 0.</t>
        </is>
      </c>
    </row>
    <row r="28">
      <c r="B28" t="inlineStr">
        <is>
          <t>Average annual NOPAT (Y1–8)</t>
        </is>
      </c>
      <c r="C28" s="16">
        <f>AVERAGE('02_Cash_Flows'!D21:K21)</f>
        <v/>
      </c>
    </row>
    <row r="29">
      <c r="B29" t="inlineStr">
        <is>
          <t>Average net book capital (Y0 capex+NWC, SL)</t>
        </is>
      </c>
      <c r="C29" s="16">
        <f>('01_Assumptions'!C12+'01_Assumptions'!C45+'01_Assumptions'!C14)/2</f>
        <v/>
      </c>
      <c r="D29" s="15" t="inlineStr">
        <is>
          <t>Simple average of opening (capex+NWC) and ending (salvage). Illustrative, not ROIC.</t>
        </is>
      </c>
    </row>
    <row r="30">
      <c r="B30" t="inlineStr">
        <is>
          <t>Simple ROI (avg NOPAT / avg book capital)</t>
        </is>
      </c>
      <c r="C30" s="34">
        <f>IF(C29=0,0,C28/C29)</f>
        <v/>
      </c>
    </row>
    <row r="32">
      <c r="B32" s="8" t="inlineStr">
        <is>
          <t>Hurdle tests</t>
        </is>
      </c>
      <c r="C32" s="9" t="n"/>
      <c r="D32" s="9" t="n"/>
    </row>
    <row r="33">
      <c r="B33" s="25" t="inlineStr">
        <is>
          <t>Test</t>
        </is>
      </c>
      <c r="C33" s="25" t="inlineStr">
        <is>
          <t>Result</t>
        </is>
      </c>
      <c r="D33" s="25" t="inlineStr">
        <is>
          <t>Rule</t>
        </is>
      </c>
    </row>
    <row r="34">
      <c r="B34" t="inlineStr">
        <is>
          <t>NPV ≥ 0</t>
        </is>
      </c>
      <c r="C34" s="36">
        <f>IF(C6&gt;=0,"Pass","Fail")</f>
        <v/>
      </c>
      <c r="D34" s="28" t="inlineStr">
        <is>
          <t>Creates value at WACC</t>
        </is>
      </c>
    </row>
    <row r="35">
      <c r="B35" t="inlineStr">
        <is>
          <t>IRR ≥ hurdle IRR</t>
        </is>
      </c>
      <c r="C35" s="36">
        <f>IF(C7&gt;=C9,"Pass","Fail")</f>
        <v/>
      </c>
      <c r="D35" s="28" t="inlineStr">
        <is>
          <t>vs Assumptions C23</t>
        </is>
      </c>
    </row>
    <row r="36">
      <c r="B36" t="inlineStr">
        <is>
          <t>Payback ≤ max payback</t>
        </is>
      </c>
      <c r="C36" s="36">
        <f>IF(C17&lt;=C18,"Pass","Fail")</f>
        <v/>
      </c>
      <c r="D36" s="28" t="inlineStr">
        <is>
          <t>Cash recovery speed</t>
        </is>
      </c>
    </row>
    <row r="37">
      <c r="B37" t="inlineStr">
        <is>
          <t>PI &gt; 1</t>
        </is>
      </c>
      <c r="C37" s="36">
        <f>IF(C27&gt;1,"Pass","Fail")</f>
        <v/>
      </c>
      <c r="D37" s="28" t="inlineStr">
        <is>
          <t>Same sign as NPV</t>
        </is>
      </c>
    </row>
    <row r="39">
      <c r="B39" s="2" t="inlineStr">
        <is>
          <t>Recommendation</t>
        </is>
      </c>
      <c r="C39" s="37">
        <f>IF(AND(C34="Pass",C35="Pass",C36="Pass"),"Proceed to capital committee","Review — one or more hurdles missed")</f>
        <v/>
      </c>
      <c r="D39" s="11" t="n"/>
      <c r="E39" s="11" t="n"/>
      <c r="F39" s="12" t="n"/>
    </row>
    <row r="41">
      <c r="B41" s="15" t="inlineStr">
        <is>
          <t>Payback interpolation: in the first year cumulative FCF turns positive, count |prior cumulative| / that year's FCF. Discounted payback uses PVs. No VBA.</t>
        </is>
      </c>
    </row>
  </sheetData>
  <mergeCells count="1">
    <mergeCell ref="C39:F39"/>
  </mergeCells>
  <conditionalFormatting sqref="C34:C37">
    <cfRule type="expression" priority="1" dxfId="0">
      <formula>C34="Pass"</formula>
    </cfRule>
    <cfRule type="expression" priority="2" dxfId="1">
      <formula>C34="Fail"</formula>
    </cfRule>
  </conditionalFormatting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B2:I5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6" customWidth="1" min="12" max="12"/>
    <col width="16" customWidth="1" min="13" max="13"/>
    <col width="16" customWidth="1" min="14" max="14"/>
  </cols>
  <sheetData>
    <row r="2">
      <c r="B2" s="1" t="inlineStr">
        <is>
          <t>Sensitivity</t>
        </is>
      </c>
    </row>
    <row r="3">
      <c r="B3" s="3" t="inlineStr">
        <is>
          <t>Two-way NPV grid (WACC × volume lift) and a tornado on the main drivers. Each cell re-discounts the project.</t>
        </is>
      </c>
    </row>
    <row r="5">
      <c r="B5" t="inlineStr">
        <is>
          <t>Base NPV</t>
        </is>
      </c>
      <c r="C5" s="24">
        <f>'03_Returns'!C6</f>
        <v/>
      </c>
    </row>
    <row r="6">
      <c r="B6" t="inlineStr">
        <is>
          <t>Base volume lift (000 cases)</t>
        </is>
      </c>
      <c r="C6" s="21">
        <f>'01_Assumptions'!C32</f>
        <v/>
      </c>
    </row>
    <row r="7">
      <c r="B7" t="inlineStr">
        <is>
          <t>Base WACC</t>
        </is>
      </c>
      <c r="C7" s="20">
        <f>'01_Assumptions'!C21</f>
        <v/>
      </c>
    </row>
    <row r="9">
      <c r="B9" s="8" t="inlineStr">
        <is>
          <t>NPV ($000s)  ·  rows = WACC  ·  columns = volume lift (000 cases)</t>
        </is>
      </c>
      <c r="C9" s="9" t="n"/>
      <c r="D9" s="9" t="n"/>
      <c r="E9" s="9" t="n"/>
      <c r="F9" s="9" t="n"/>
      <c r="G9" s="9" t="n"/>
      <c r="H9" s="9" t="n"/>
      <c r="I9" s="9" t="n"/>
    </row>
    <row r="10">
      <c r="B10" s="38" t="inlineStr">
        <is>
          <t>WACC \ lift</t>
        </is>
      </c>
      <c r="C10" s="39" t="n">
        <v>1200</v>
      </c>
      <c r="D10" s="39" t="n">
        <v>1440</v>
      </c>
      <c r="E10" s="39" t="n">
        <v>1620</v>
      </c>
      <c r="F10" s="39" t="n">
        <v>1800</v>
      </c>
      <c r="G10" s="39" t="n">
        <v>1980</v>
      </c>
      <c r="H10" s="39" t="n">
        <v>2160</v>
      </c>
      <c r="I10" s="39" t="n">
        <v>2400</v>
      </c>
    </row>
    <row r="11">
      <c r="B11" s="40" t="n">
        <v>0.07000000000000001</v>
      </c>
      <c r="C11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11)^8</f>
        <v/>
      </c>
      <c r="D11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11)^8</f>
        <v/>
      </c>
      <c r="E11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11)^8</f>
        <v/>
      </c>
      <c r="F11" s="16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11)^8</f>
        <v/>
      </c>
      <c r="G11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11)^8</f>
        <v/>
      </c>
      <c r="H11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11)^8</f>
        <v/>
      </c>
      <c r="I11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11)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11)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11)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11)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11)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11)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11)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11)^8</f>
        <v/>
      </c>
    </row>
    <row r="12">
      <c r="B12" s="40" t="n">
        <v>0.08</v>
      </c>
      <c r="C12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12)^8</f>
        <v/>
      </c>
      <c r="D12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12)^8</f>
        <v/>
      </c>
      <c r="E12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12)^8</f>
        <v/>
      </c>
      <c r="F12" s="16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12)^8</f>
        <v/>
      </c>
      <c r="G12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12)^8</f>
        <v/>
      </c>
      <c r="H12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12)^8</f>
        <v/>
      </c>
      <c r="I12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12)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12)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12)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12)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12)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12)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12)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12)^8</f>
        <v/>
      </c>
    </row>
    <row r="13">
      <c r="B13" s="40" t="n">
        <v>0.09</v>
      </c>
      <c r="C13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13)^8</f>
        <v/>
      </c>
      <c r="D13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13)^8</f>
        <v/>
      </c>
      <c r="E13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13)^8</f>
        <v/>
      </c>
      <c r="F13" s="41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13)^8</f>
        <v/>
      </c>
      <c r="G13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13)^8</f>
        <v/>
      </c>
      <c r="H13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13)^8</f>
        <v/>
      </c>
      <c r="I13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13)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13)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13)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13)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13)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13)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13)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13)^8</f>
        <v/>
      </c>
    </row>
    <row r="14">
      <c r="B14" s="40" t="n">
        <v>0.1</v>
      </c>
      <c r="C14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14)^8</f>
        <v/>
      </c>
      <c r="D14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14)^8</f>
        <v/>
      </c>
      <c r="E14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14)^8</f>
        <v/>
      </c>
      <c r="F14" s="16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14)^8</f>
        <v/>
      </c>
      <c r="G14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14)^8</f>
        <v/>
      </c>
      <c r="H14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14)^8</f>
        <v/>
      </c>
      <c r="I14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14)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14)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14)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14)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14)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14)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14)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14)^8</f>
        <v/>
      </c>
    </row>
    <row r="15">
      <c r="B15" s="40" t="n">
        <v>0.11</v>
      </c>
      <c r="C15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15)^8</f>
        <v/>
      </c>
      <c r="D15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15)^8</f>
        <v/>
      </c>
      <c r="E15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15)^8</f>
        <v/>
      </c>
      <c r="F15" s="16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15)^8</f>
        <v/>
      </c>
      <c r="G15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15)^8</f>
        <v/>
      </c>
      <c r="H15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15)^8</f>
        <v/>
      </c>
      <c r="I15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15)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15)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15)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15)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15)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15)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15)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15)^8</f>
        <v/>
      </c>
    </row>
    <row r="16">
      <c r="B16" s="40" t="n">
        <v>0.12</v>
      </c>
      <c r="C16" s="16">
        <f>(-'01_Assumptions'!$C$12*'01_Assumptions'!$C$16-('01_Assumptions'!$C$44*C$10*'01_Assumptions'!$C$37))+(((((C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C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C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C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C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C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C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C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C$10*'01_Assumptions'!$C$37)+'01_Assumptions'!$C$14*(1-'01_Assumptions'!$C$22)))/(1+$B16)^8</f>
        <v/>
      </c>
      <c r="D16" s="16">
        <f>(-'01_Assumptions'!$C$12*'01_Assumptions'!$C$16-('01_Assumptions'!$C$44*D$10*'01_Assumptions'!$C$37))+(((((D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D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D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D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D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D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D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D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D$10*'01_Assumptions'!$C$37)+'01_Assumptions'!$C$14*(1-'01_Assumptions'!$C$22)))/(1+$B16)^8</f>
        <v/>
      </c>
      <c r="E16" s="16">
        <f>(-'01_Assumptions'!$C$12*'01_Assumptions'!$C$16-('01_Assumptions'!$C$44*E$10*'01_Assumptions'!$C$37))+(((((E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E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E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E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E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E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E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E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E$10*'01_Assumptions'!$C$37)+'01_Assumptions'!$C$14*(1-'01_Assumptions'!$C$22)))/(1+$B16)^8</f>
        <v/>
      </c>
      <c r="F16" s="16">
        <f>(-'01_Assumptions'!$C$12*'01_Assumptions'!$C$16-('01_Assumptions'!$C$44*F$10*'01_Assumptions'!$C$37))+(((((F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F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F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F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F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F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F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F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F$10*'01_Assumptions'!$C$37)+'01_Assumptions'!$C$14*(1-'01_Assumptions'!$C$22)))/(1+$B16)^8</f>
        <v/>
      </c>
      <c r="G16" s="16">
        <f>(-'01_Assumptions'!$C$12*'01_Assumptions'!$C$16-('01_Assumptions'!$C$44*G$10*'01_Assumptions'!$C$37))+(((((G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G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G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G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G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G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G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G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G$10*'01_Assumptions'!$C$37)+'01_Assumptions'!$C$14*(1-'01_Assumptions'!$C$22)))/(1+$B16)^8</f>
        <v/>
      </c>
      <c r="H16" s="16">
        <f>(-'01_Assumptions'!$C$12*'01_Assumptions'!$C$16-('01_Assumptions'!$C$44*H$10*'01_Assumptions'!$C$37))+(((((H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H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H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H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H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H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H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H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H$10*'01_Assumptions'!$C$37)+'01_Assumptions'!$C$14*(1-'01_Assumptions'!$C$22)))/(1+$B16)^8</f>
        <v/>
      </c>
      <c r="I16" s="16">
        <f>(-'01_Assumptions'!$C$12*'01_Assumptions'!$C$16-('01_Assumptions'!$C$44*I$10*'01_Assumptions'!$C$37))+(((((I$10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B16)^1+(((((I$10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B16)^2+(((((I$10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B16)^3+(((((I$10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B16)^4+(((((I$10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B16)^5+(((((I$10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B16)^6+(((((I$10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B16)^7+((((((I$10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I$10*'01_Assumptions'!$C$37)+'01_Assumptions'!$C$14*(1-'01_Assumptions'!$C$22)))/(1+$B16)^8</f>
        <v/>
      </c>
    </row>
    <row r="18">
      <c r="B18" s="15" t="inlineStr">
        <is>
          <t>Base case is WACC 9% / lift 1,800. Green = the conversation cell on 03_Returns.</t>
        </is>
      </c>
    </row>
    <row r="20">
      <c r="B20" s="8" t="inlineStr">
        <is>
          <t>Tornado — NPV at −10% / +10% on each driver (WACC ± 100 bps)</t>
        </is>
      </c>
      <c r="C20" s="9" t="n"/>
      <c r="D20" s="9" t="n"/>
      <c r="E20" s="9" t="n"/>
      <c r="F20" s="9" t="n"/>
      <c r="G20" s="9" t="n"/>
    </row>
    <row r="21">
      <c r="B21" s="25" t="inlineStr">
        <is>
          <t>Driver</t>
        </is>
      </c>
      <c r="C21" s="25" t="inlineStr">
        <is>
          <t>Low</t>
        </is>
      </c>
      <c r="D21" s="25" t="inlineStr">
        <is>
          <t>Base</t>
        </is>
      </c>
      <c r="E21" s="25" t="inlineStr">
        <is>
          <t>High</t>
        </is>
      </c>
      <c r="F21" s="25" t="inlineStr">
        <is>
          <t>Low NPV</t>
        </is>
      </c>
      <c r="G21" s="25" t="inlineStr">
        <is>
          <t>Base NPV</t>
        </is>
      </c>
      <c r="H21" s="25" t="inlineStr">
        <is>
          <t>High NPV</t>
        </is>
      </c>
      <c r="I21" s="25" t="inlineStr">
        <is>
          <t>Swing</t>
        </is>
      </c>
    </row>
    <row r="22">
      <c r="B22" s="26" t="inlineStr">
        <is>
          <t>Capex</t>
        </is>
      </c>
      <c r="C22" s="16">
        <f>'01_Assumptions'!C12*0.9</f>
        <v/>
      </c>
      <c r="D22" s="16">
        <f>'01_Assumptions'!C12</f>
        <v/>
      </c>
      <c r="E22" s="16">
        <f>'01_Assumptions'!C12*1.1</f>
        <v/>
      </c>
      <c r="F22" s="16">
        <f>(-$C22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$C22/'01_Assumptions'!$C$13)))*(1-'01_Assumptions'!$C$22)+($C22/'01_Assumptions'!$C$13)-($C22*(1-'01_Assumptions'!$C$16))))/(1+'01_Assumptions'!$C$21)^1+((((('01_Assumptions'!$C$32*'01_Assumptions'!D52*('01_Assumptions'!$C$37-'01_Assumptions'!$C$38))+('01_Assumptions'!$C$40*'01_Assumptions'!$C$41*'01_Assumptions'!D53)-'01_Assumptions'!$C$42-0-($C22/'01_Assumptions'!$C$13)))*(1-'01_Assumptions'!$C$22)+($C22/'01_Assumptions'!$C$13)-0))/(1+'01_Assumptions'!$C$21)^2+((((('01_Assumptions'!$C$32*'01_Assumptions'!E52*('01_Assumptions'!$C$37-'01_Assumptions'!$C$38))+('01_Assumptions'!$C$40*'01_Assumptions'!$C$41*'01_Assumptions'!E53)-'01_Assumptions'!$C$42-0-($C22/'01_Assumptions'!$C$13)))*(1-'01_Assumptions'!$C$22)+($C22/'01_Assumptions'!$C$13)-0))/(1+'01_Assumptions'!$C$21)^3+((((('01_Assumptions'!$C$32*'01_Assumptions'!F52*('01_Assumptions'!$C$37-'01_Assumptions'!$C$38))+('01_Assumptions'!$C$40*'01_Assumptions'!$C$41*'01_Assumptions'!F53)-'01_Assumptions'!$C$42-0-($C22/'01_Assumptions'!$C$13)))*(1-'01_Assumptions'!$C$22)+($C22/'01_Assumptions'!$C$13)-0))/(1+'01_Assumptions'!$C$21)^4+((((('01_Assumptions'!$C$32*'01_Assumptions'!G52*('01_Assumptions'!$C$37-'01_Assumptions'!$C$38))+('01_Assumptions'!$C$40*'01_Assumptions'!$C$41*'01_Assumptions'!G53)-'01_Assumptions'!$C$42-0-($C22/'01_Assumptions'!$C$13)))*(1-'01_Assumptions'!$C$22)+($C22/'01_Assumptions'!$C$13)-0))/(1+'01_Assumptions'!$C$21)^5+((((('01_Assumptions'!$C$32*'01_Assumptions'!H52*('01_Assumptions'!$C$37-'01_Assumptions'!$C$38))+('01_Assumptions'!$C$40*'01_Assumptions'!$C$41*'01_Assumptions'!H53)-'01_Assumptions'!$C$42-0-($C22/'01_Assumptions'!$C$13)))*(1-'01_Assumptions'!$C$22)+($C22/'01_Assumptions'!$C$13)-0))/(1+'01_Assumptions'!$C$21)^6+((((('01_Assumptions'!$C$32*'01_Assumptions'!I52*('01_Assumptions'!$C$37-'01_Assumptions'!$C$38))+('01_Assumptions'!$C$40*'01_Assumptions'!$C$41*'01_Assumptions'!I53)-'01_Assumptions'!$C$42-0-($C22/'01_Assumptions'!$C$13)))*(1-'01_Assumptions'!$C$22)+($C22/'01_Assumptions'!$C$13)-0))/(1+'01_Assumptions'!$C$21)^7+(((((('01_Assumptions'!$C$32*'01_Assumptions'!J52*('01_Assumptions'!$C$37-'01_Assumptions'!$C$38))+('01_Assumptions'!$C$40*'01_Assumptions'!$C$41*'01_Assumptions'!J53)-'01_Assumptions'!$C$42-0-($C22/'01_Assumptions'!$C$13)))*(1-'01_Assumptions'!$C$22)+($C22/'01_Assumptions'!$C$13)-0)+('01_Assumptions'!$C$44*'01_Assumptions'!$C$32*'01_Assumptions'!$C$37)+'01_Assumptions'!$C$14*(1-'01_Assumptions'!$C$22)))/(1+'01_Assumptions'!$C$21)^8</f>
        <v/>
      </c>
      <c r="G22" s="24">
        <f>'03_Returns'!C6</f>
        <v/>
      </c>
      <c r="H22" s="16">
        <f>(-$E22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$E22/'01_Assumptions'!$C$13)))*(1-'01_Assumptions'!$C$22)+($E22/'01_Assumptions'!$C$13)-($E22*(1-'01_Assumptions'!$C$16))))/(1+'01_Assumptions'!$C$21)^1+((((('01_Assumptions'!$C$32*'01_Assumptions'!D52*('01_Assumptions'!$C$37-'01_Assumptions'!$C$38))+('01_Assumptions'!$C$40*'01_Assumptions'!$C$41*'01_Assumptions'!D53)-'01_Assumptions'!$C$42-0-($E22/'01_Assumptions'!$C$13)))*(1-'01_Assumptions'!$C$22)+($E22/'01_Assumptions'!$C$13)-0))/(1+'01_Assumptions'!$C$21)^2+((((('01_Assumptions'!$C$32*'01_Assumptions'!E52*('01_Assumptions'!$C$37-'01_Assumptions'!$C$38))+('01_Assumptions'!$C$40*'01_Assumptions'!$C$41*'01_Assumptions'!E53)-'01_Assumptions'!$C$42-0-($E22/'01_Assumptions'!$C$13)))*(1-'01_Assumptions'!$C$22)+($E22/'01_Assumptions'!$C$13)-0))/(1+'01_Assumptions'!$C$21)^3+((((('01_Assumptions'!$C$32*'01_Assumptions'!F52*('01_Assumptions'!$C$37-'01_Assumptions'!$C$38))+('01_Assumptions'!$C$40*'01_Assumptions'!$C$41*'01_Assumptions'!F53)-'01_Assumptions'!$C$42-0-($E22/'01_Assumptions'!$C$13)))*(1-'01_Assumptions'!$C$22)+($E22/'01_Assumptions'!$C$13)-0))/(1+'01_Assumptions'!$C$21)^4+((((('01_Assumptions'!$C$32*'01_Assumptions'!G52*('01_Assumptions'!$C$37-'01_Assumptions'!$C$38))+('01_Assumptions'!$C$40*'01_Assumptions'!$C$41*'01_Assumptions'!G53)-'01_Assumptions'!$C$42-0-($E22/'01_Assumptions'!$C$13)))*(1-'01_Assumptions'!$C$22)+($E22/'01_Assumptions'!$C$13)-0))/(1+'01_Assumptions'!$C$21)^5+((((('01_Assumptions'!$C$32*'01_Assumptions'!H52*('01_Assumptions'!$C$37-'01_Assumptions'!$C$38))+('01_Assumptions'!$C$40*'01_Assumptions'!$C$41*'01_Assumptions'!H53)-'01_Assumptions'!$C$42-0-($E22/'01_Assumptions'!$C$13)))*(1-'01_Assumptions'!$C$22)+($E22/'01_Assumptions'!$C$13)-0))/(1+'01_Assumptions'!$C$21)^6+((((('01_Assumptions'!$C$32*'01_Assumptions'!I52*('01_Assumptions'!$C$37-'01_Assumptions'!$C$38))+('01_Assumptions'!$C$40*'01_Assumptions'!$C$41*'01_Assumptions'!I53)-'01_Assumptions'!$C$42-0-($E22/'01_Assumptions'!$C$13)))*(1-'01_Assumptions'!$C$22)+($E22/'01_Assumptions'!$C$13)-0))/(1+'01_Assumptions'!$C$21)^7+(((((('01_Assumptions'!$C$32*'01_Assumptions'!J52*('01_Assumptions'!$C$37-'01_Assumptions'!$C$38))+('01_Assumptions'!$C$40*'01_Assumptions'!$C$41*'01_Assumptions'!J53)-'01_Assumptions'!$C$42-0-($E22/'01_Assumptions'!$C$13)))*(1-'01_Assumptions'!$C$22)+($E22/'01_Assumptions'!$C$13)-0)+('01_Assumptions'!$C$44*'01_Assumptions'!$C$32*'01_Assumptions'!$C$37)+'01_Assumptions'!$C$14*(1-'01_Assumptions'!$C$22)))/(1+'01_Assumptions'!$C$21)^8</f>
        <v/>
      </c>
      <c r="I22" s="24">
        <f>ABS(H22-F22)</f>
        <v/>
      </c>
    </row>
    <row r="23">
      <c r="B23" s="26" t="inlineStr">
        <is>
          <t>Volume lift</t>
        </is>
      </c>
      <c r="C23" s="21">
        <f>'01_Assumptions'!C32*0.9</f>
        <v/>
      </c>
      <c r="D23" s="21">
        <f>'01_Assumptions'!C32</f>
        <v/>
      </c>
      <c r="E23" s="21">
        <f>'01_Assumptions'!C32*1.1</f>
        <v/>
      </c>
      <c r="F23" s="16">
        <f>(-'01_Assumptions'!$C$12*'01_Assumptions'!$C$16-('01_Assumptions'!$C$44*$C23*'01_Assumptions'!$C$37))+((((($C23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$C23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'01_Assumptions'!$C$21)^2+((((($C23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'01_Assumptions'!$C$21)^3+((((($C23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'01_Assumptions'!$C$21)^4+((((($C23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'01_Assumptions'!$C$21)^5+((((($C23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'01_Assumptions'!$C$21)^6+((((($C23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'01_Assumptions'!$C$21)^7+(((((($C23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$C23*'01_Assumptions'!$C$37)+'01_Assumptions'!$C$14*(1-'01_Assumptions'!$C$22)))/(1+'01_Assumptions'!$C$21)^8</f>
        <v/>
      </c>
      <c r="G23" s="24">
        <f>'03_Returns'!C6</f>
        <v/>
      </c>
      <c r="H23" s="16">
        <f>(-'01_Assumptions'!$C$12*'01_Assumptions'!$C$16-('01_Assumptions'!$C$44*$E23*'01_Assumptions'!$C$37))+((((($E23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$E23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'01_Assumptions'!$C$21)^2+((((($E23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'01_Assumptions'!$C$21)^3+((((($E23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'01_Assumptions'!$C$21)^4+((((($E23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'01_Assumptions'!$C$21)^5+((((($E23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'01_Assumptions'!$C$21)^6+((((($E23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'01_Assumptions'!$C$21)^7+(((((($E23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$E23*'01_Assumptions'!$C$37)+'01_Assumptions'!$C$14*(1-'01_Assumptions'!$C$22)))/(1+'01_Assumptions'!$C$21)^8</f>
        <v/>
      </c>
      <c r="I23" s="24">
        <f>ABS(H23-F23)</f>
        <v/>
      </c>
    </row>
    <row r="24">
      <c r="B24" s="26" t="inlineStr">
        <is>
          <t>Net price (lift)</t>
        </is>
      </c>
      <c r="C24" s="16">
        <f>'01_Assumptions'!C37*0.9</f>
        <v/>
      </c>
      <c r="D24" s="16">
        <f>'01_Assumptions'!C37</f>
        <v/>
      </c>
      <c r="E24" s="16">
        <f>'01_Assumptions'!C37*1.1</f>
        <v/>
      </c>
      <c r="F24" s="16">
        <f>(-'01_Assumptions'!$C$12*'01_Assumptions'!$C$16-('01_Assumptions'!$C$44*'01_Assumptions'!$C$32*$C24))+((((('01_Assumptions'!$C$32*'01_Assumptions'!C52*($C24-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$C24-'01_Assumptions'!$C$38))+('01_Assumptions'!$C$40*'01_Assumptions'!$C$41*'01_Assumptions'!D53)-'01_Assumptions'!$C$42-0-('01_Assumptions'!$C$12/'01_Assumptions'!$C$13)))*(1-'01_Assumptions'!$C$22)+('01_Assumptions'!$C$12/'01_Assumptions'!$C$13)-0))/(1+'01_Assumptions'!$C$21)^2+((((('01_Assumptions'!$C$32*'01_Assumptions'!E52*($C24-'01_Assumptions'!$C$38))+('01_Assumptions'!$C$40*'01_Assumptions'!$C$41*'01_Assumptions'!E53)-'01_Assumptions'!$C$42-0-('01_Assumptions'!$C$12/'01_Assumptions'!$C$13)))*(1-'01_Assumptions'!$C$22)+('01_Assumptions'!$C$12/'01_Assumptions'!$C$13)-0))/(1+'01_Assumptions'!$C$21)^3+((((('01_Assumptions'!$C$32*'01_Assumptions'!F52*($C24-'01_Assumptions'!$C$38))+('01_Assumptions'!$C$40*'01_Assumptions'!$C$41*'01_Assumptions'!F53)-'01_Assumptions'!$C$42-0-('01_Assumptions'!$C$12/'01_Assumptions'!$C$13)))*(1-'01_Assumptions'!$C$22)+('01_Assumptions'!$C$12/'01_Assumptions'!$C$13)-0))/(1+'01_Assumptions'!$C$21)^4+((((('01_Assumptions'!$C$32*'01_Assumptions'!G52*($C24-'01_Assumptions'!$C$38))+('01_Assumptions'!$C$40*'01_Assumptions'!$C$41*'01_Assumptions'!G53)-'01_Assumptions'!$C$42-0-('01_Assumptions'!$C$12/'01_Assumptions'!$C$13)))*(1-'01_Assumptions'!$C$22)+('01_Assumptions'!$C$12/'01_Assumptions'!$C$13)-0))/(1+'01_Assumptions'!$C$21)^5+((((('01_Assumptions'!$C$32*'01_Assumptions'!H52*($C24-'01_Assumptions'!$C$38))+('01_Assumptions'!$C$40*'01_Assumptions'!$C$41*'01_Assumptions'!H53)-'01_Assumptions'!$C$42-0-('01_Assumptions'!$C$12/'01_Assumptions'!$C$13)))*(1-'01_Assumptions'!$C$22)+('01_Assumptions'!$C$12/'01_Assumptions'!$C$13)-0))/(1+'01_Assumptions'!$C$21)^6+((((('01_Assumptions'!$C$32*'01_Assumptions'!I52*($C24-'01_Assumptions'!$C$38))+('01_Assumptions'!$C$40*'01_Assumptions'!$C$41*'01_Assumptions'!I53)-'01_Assumptions'!$C$42-0-('01_Assumptions'!$C$12/'01_Assumptions'!$C$13)))*(1-'01_Assumptions'!$C$22)+('01_Assumptions'!$C$12/'01_Assumptions'!$C$13)-0))/(1+'01_Assumptions'!$C$21)^7+(((((('01_Assumptions'!$C$32*'01_Assumptions'!J52*($C24-'01_Assumptions'!$C$38))+('01_Assumptions'!$C$40*'01_Assumptions'!$C$41*'01_Assumptions'!J53)-'01_Assumptions'!$C$42-0-('01_Assumptions'!$C$12/'01_Assumptions'!$C$13)))*(1-'01_Assumptions'!$C$22)+('01_Assumptions'!$C$12/'01_Assumptions'!$C$13)-0)+('01_Assumptions'!$C$44*'01_Assumptions'!$C$32*$C24)+'01_Assumptions'!$C$14*(1-'01_Assumptions'!$C$22)))/(1+'01_Assumptions'!$C$21)^8</f>
        <v/>
      </c>
      <c r="G24" s="24">
        <f>'03_Returns'!C6</f>
        <v/>
      </c>
      <c r="H24" s="16">
        <f>(-'01_Assumptions'!$C$12*'01_Assumptions'!$C$16-('01_Assumptions'!$C$44*'01_Assumptions'!$C$32*$E24))+((((('01_Assumptions'!$C$32*'01_Assumptions'!C52*($E24-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$E24-'01_Assumptions'!$C$38))+('01_Assumptions'!$C$40*'01_Assumptions'!$C$41*'01_Assumptions'!D53)-'01_Assumptions'!$C$42-0-('01_Assumptions'!$C$12/'01_Assumptions'!$C$13)))*(1-'01_Assumptions'!$C$22)+('01_Assumptions'!$C$12/'01_Assumptions'!$C$13)-0))/(1+'01_Assumptions'!$C$21)^2+((((('01_Assumptions'!$C$32*'01_Assumptions'!E52*($E24-'01_Assumptions'!$C$38))+('01_Assumptions'!$C$40*'01_Assumptions'!$C$41*'01_Assumptions'!E53)-'01_Assumptions'!$C$42-0-('01_Assumptions'!$C$12/'01_Assumptions'!$C$13)))*(1-'01_Assumptions'!$C$22)+('01_Assumptions'!$C$12/'01_Assumptions'!$C$13)-0))/(1+'01_Assumptions'!$C$21)^3+((((('01_Assumptions'!$C$32*'01_Assumptions'!F52*($E24-'01_Assumptions'!$C$38))+('01_Assumptions'!$C$40*'01_Assumptions'!$C$41*'01_Assumptions'!F53)-'01_Assumptions'!$C$42-0-('01_Assumptions'!$C$12/'01_Assumptions'!$C$13)))*(1-'01_Assumptions'!$C$22)+('01_Assumptions'!$C$12/'01_Assumptions'!$C$13)-0))/(1+'01_Assumptions'!$C$21)^4+((((('01_Assumptions'!$C$32*'01_Assumptions'!G52*($E24-'01_Assumptions'!$C$38))+('01_Assumptions'!$C$40*'01_Assumptions'!$C$41*'01_Assumptions'!G53)-'01_Assumptions'!$C$42-0-('01_Assumptions'!$C$12/'01_Assumptions'!$C$13)))*(1-'01_Assumptions'!$C$22)+('01_Assumptions'!$C$12/'01_Assumptions'!$C$13)-0))/(1+'01_Assumptions'!$C$21)^5+((((('01_Assumptions'!$C$32*'01_Assumptions'!H52*($E24-'01_Assumptions'!$C$38))+('01_Assumptions'!$C$40*'01_Assumptions'!$C$41*'01_Assumptions'!H53)-'01_Assumptions'!$C$42-0-('01_Assumptions'!$C$12/'01_Assumptions'!$C$13)))*(1-'01_Assumptions'!$C$22)+('01_Assumptions'!$C$12/'01_Assumptions'!$C$13)-0))/(1+'01_Assumptions'!$C$21)^6+((((('01_Assumptions'!$C$32*'01_Assumptions'!I52*($E24-'01_Assumptions'!$C$38))+('01_Assumptions'!$C$40*'01_Assumptions'!$C$41*'01_Assumptions'!I53)-'01_Assumptions'!$C$42-0-('01_Assumptions'!$C$12/'01_Assumptions'!$C$13)))*(1-'01_Assumptions'!$C$22)+('01_Assumptions'!$C$12/'01_Assumptions'!$C$13)-0))/(1+'01_Assumptions'!$C$21)^7+(((((('01_Assumptions'!$C$32*'01_Assumptions'!J52*($E24-'01_Assumptions'!$C$38))+('01_Assumptions'!$C$40*'01_Assumptions'!$C$41*'01_Assumptions'!J53)-'01_Assumptions'!$C$42-0-('01_Assumptions'!$C$12/'01_Assumptions'!$C$13)))*(1-'01_Assumptions'!$C$22)+('01_Assumptions'!$C$12/'01_Assumptions'!$C$13)-0)+('01_Assumptions'!$C$44*'01_Assumptions'!$C$32*$E24)+'01_Assumptions'!$C$14*(1-'01_Assumptions'!$C$22)))/(1+'01_Assumptions'!$C$21)^8</f>
        <v/>
      </c>
      <c r="I24" s="24">
        <f>ABS(H24-F24)</f>
        <v/>
      </c>
    </row>
    <row r="25">
      <c r="B25" s="26" t="inlineStr">
        <is>
          <t>Conversion savings $/case</t>
        </is>
      </c>
      <c r="C25" s="16">
        <f>'01_Assumptions'!C40*0.9</f>
        <v/>
      </c>
      <c r="D25" s="16">
        <f>'01_Assumptions'!C40</f>
        <v/>
      </c>
      <c r="E25" s="16">
        <f>'01_Assumptions'!C40*1.1</f>
        <v/>
      </c>
      <c r="F25" s="16">
        <f>(-'01_Assumptions'!$C$12*'01_Assumptions'!$C$16-('01_Assumptions'!$C$44*'01_Assumptions'!$C$32*'01_Assumptions'!$C$37))+((((('01_Assumptions'!$C$32*'01_Assumptions'!C52*('01_Assumptions'!$C$37-'01_Assumptions'!$C$38))+($C25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'01_Assumptions'!$C$37-'01_Assumptions'!$C$38))+($C25*'01_Assumptions'!$C$41*'01_Assumptions'!D53)-'01_Assumptions'!$C$42-0-('01_Assumptions'!$C$12/'01_Assumptions'!$C$13)))*(1-'01_Assumptions'!$C$22)+('01_Assumptions'!$C$12/'01_Assumptions'!$C$13)-0))/(1+'01_Assumptions'!$C$21)^2+((((('01_Assumptions'!$C$32*'01_Assumptions'!E52*('01_Assumptions'!$C$37-'01_Assumptions'!$C$38))+($C25*'01_Assumptions'!$C$41*'01_Assumptions'!E53)-'01_Assumptions'!$C$42-0-('01_Assumptions'!$C$12/'01_Assumptions'!$C$13)))*(1-'01_Assumptions'!$C$22)+('01_Assumptions'!$C$12/'01_Assumptions'!$C$13)-0))/(1+'01_Assumptions'!$C$21)^3+((((('01_Assumptions'!$C$32*'01_Assumptions'!F52*('01_Assumptions'!$C$37-'01_Assumptions'!$C$38))+($C25*'01_Assumptions'!$C$41*'01_Assumptions'!F53)-'01_Assumptions'!$C$42-0-('01_Assumptions'!$C$12/'01_Assumptions'!$C$13)))*(1-'01_Assumptions'!$C$22)+('01_Assumptions'!$C$12/'01_Assumptions'!$C$13)-0))/(1+'01_Assumptions'!$C$21)^4+((((('01_Assumptions'!$C$32*'01_Assumptions'!G52*('01_Assumptions'!$C$37-'01_Assumptions'!$C$38))+($C25*'01_Assumptions'!$C$41*'01_Assumptions'!G53)-'01_Assumptions'!$C$42-0-('01_Assumptions'!$C$12/'01_Assumptions'!$C$13)))*(1-'01_Assumptions'!$C$22)+('01_Assumptions'!$C$12/'01_Assumptions'!$C$13)-0))/(1+'01_Assumptions'!$C$21)^5+((((('01_Assumptions'!$C$32*'01_Assumptions'!H52*('01_Assumptions'!$C$37-'01_Assumptions'!$C$38))+($C25*'01_Assumptions'!$C$41*'01_Assumptions'!H53)-'01_Assumptions'!$C$42-0-('01_Assumptions'!$C$12/'01_Assumptions'!$C$13)))*(1-'01_Assumptions'!$C$22)+('01_Assumptions'!$C$12/'01_Assumptions'!$C$13)-0))/(1+'01_Assumptions'!$C$21)^6+((((('01_Assumptions'!$C$32*'01_Assumptions'!I52*('01_Assumptions'!$C$37-'01_Assumptions'!$C$38))+($C25*'01_Assumptions'!$C$41*'01_Assumptions'!I53)-'01_Assumptions'!$C$42-0-('01_Assumptions'!$C$12/'01_Assumptions'!$C$13)))*(1-'01_Assumptions'!$C$22)+('01_Assumptions'!$C$12/'01_Assumptions'!$C$13)-0))/(1+'01_Assumptions'!$C$21)^7+(((((('01_Assumptions'!$C$32*'01_Assumptions'!J52*('01_Assumptions'!$C$37-'01_Assumptions'!$C$38))+($C25*'01_Assumptions'!$C$41*'01_Assumptions'!J53)-'01_Assumptions'!$C$42-0-('01_Assumptions'!$C$12/'01_Assumptions'!$C$13)))*(1-'01_Assumptions'!$C$22)+('01_Assumptions'!$C$12/'01_Assumptions'!$C$13)-0)+('01_Assumptions'!$C$44*'01_Assumptions'!$C$32*'01_Assumptions'!$C$37)+'01_Assumptions'!$C$14*(1-'01_Assumptions'!$C$22)))/(1+'01_Assumptions'!$C$21)^8</f>
        <v/>
      </c>
      <c r="G25" s="24">
        <f>'03_Returns'!C6</f>
        <v/>
      </c>
      <c r="H25" s="16">
        <f>(-'01_Assumptions'!$C$12*'01_Assumptions'!$C$16-('01_Assumptions'!$C$44*'01_Assumptions'!$C$32*'01_Assumptions'!$C$37))+((((('01_Assumptions'!$C$32*'01_Assumptions'!C52*('01_Assumptions'!$C$37-'01_Assumptions'!$C$38))+($E25*'01_Assumptions'!$C$41*'01_Assumptions'!C53)-'01_Assumptions'!$C$42-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'01_Assumptions'!$C$37-'01_Assumptions'!$C$38))+($E25*'01_Assumptions'!$C$41*'01_Assumptions'!D53)-'01_Assumptions'!$C$42-0-('01_Assumptions'!$C$12/'01_Assumptions'!$C$13)))*(1-'01_Assumptions'!$C$22)+('01_Assumptions'!$C$12/'01_Assumptions'!$C$13)-0))/(1+'01_Assumptions'!$C$21)^2+((((('01_Assumptions'!$C$32*'01_Assumptions'!E52*('01_Assumptions'!$C$37-'01_Assumptions'!$C$38))+($E25*'01_Assumptions'!$C$41*'01_Assumptions'!E53)-'01_Assumptions'!$C$42-0-('01_Assumptions'!$C$12/'01_Assumptions'!$C$13)))*(1-'01_Assumptions'!$C$22)+('01_Assumptions'!$C$12/'01_Assumptions'!$C$13)-0))/(1+'01_Assumptions'!$C$21)^3+((((('01_Assumptions'!$C$32*'01_Assumptions'!F52*('01_Assumptions'!$C$37-'01_Assumptions'!$C$38))+($E25*'01_Assumptions'!$C$41*'01_Assumptions'!F53)-'01_Assumptions'!$C$42-0-('01_Assumptions'!$C$12/'01_Assumptions'!$C$13)))*(1-'01_Assumptions'!$C$22)+('01_Assumptions'!$C$12/'01_Assumptions'!$C$13)-0))/(1+'01_Assumptions'!$C$21)^4+((((('01_Assumptions'!$C$32*'01_Assumptions'!G52*('01_Assumptions'!$C$37-'01_Assumptions'!$C$38))+($E25*'01_Assumptions'!$C$41*'01_Assumptions'!G53)-'01_Assumptions'!$C$42-0-('01_Assumptions'!$C$12/'01_Assumptions'!$C$13)))*(1-'01_Assumptions'!$C$22)+('01_Assumptions'!$C$12/'01_Assumptions'!$C$13)-0))/(1+'01_Assumptions'!$C$21)^5+((((('01_Assumptions'!$C$32*'01_Assumptions'!H52*('01_Assumptions'!$C$37-'01_Assumptions'!$C$38))+($E25*'01_Assumptions'!$C$41*'01_Assumptions'!H53)-'01_Assumptions'!$C$42-0-('01_Assumptions'!$C$12/'01_Assumptions'!$C$13)))*(1-'01_Assumptions'!$C$22)+('01_Assumptions'!$C$12/'01_Assumptions'!$C$13)-0))/(1+'01_Assumptions'!$C$21)^6+((((('01_Assumptions'!$C$32*'01_Assumptions'!I52*('01_Assumptions'!$C$37-'01_Assumptions'!$C$38))+($E25*'01_Assumptions'!$C$41*'01_Assumptions'!I53)-'01_Assumptions'!$C$42-0-('01_Assumptions'!$C$12/'01_Assumptions'!$C$13)))*(1-'01_Assumptions'!$C$22)+('01_Assumptions'!$C$12/'01_Assumptions'!$C$13)-0))/(1+'01_Assumptions'!$C$21)^7+(((((('01_Assumptions'!$C$32*'01_Assumptions'!J52*('01_Assumptions'!$C$37-'01_Assumptions'!$C$38))+($E25*'01_Assumptions'!$C$41*'01_Assumptions'!J53)-'01_Assumptions'!$C$42-0-('01_Assumptions'!$C$12/'01_Assumptions'!$C$13)))*(1-'01_Assumptions'!$C$22)+('01_Assumptions'!$C$12/'01_Assumptions'!$C$13)-0)+('01_Assumptions'!$C$44*'01_Assumptions'!$C$32*'01_Assumptions'!$C$37)+'01_Assumptions'!$C$14*(1-'01_Assumptions'!$C$22)))/(1+'01_Assumptions'!$C$21)^8</f>
        <v/>
      </c>
      <c r="I25" s="24">
        <f>ABS(H25-F25)</f>
        <v/>
      </c>
    </row>
    <row r="26">
      <c r="B26" s="26" t="inlineStr">
        <is>
          <t>Incremental fixed opex</t>
        </is>
      </c>
      <c r="C26" s="16">
        <f>'01_Assumptions'!C42*1.1</f>
        <v/>
      </c>
      <c r="D26" s="16">
        <f>'01_Assumptions'!C42</f>
        <v/>
      </c>
      <c r="E26" s="16">
        <f>'01_Assumptions'!C42*0.9</f>
        <v/>
      </c>
      <c r="F26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$C26-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'01_Assumptions'!$C$37-'01_Assumptions'!$C$38))+('01_Assumptions'!$C$40*'01_Assumptions'!$C$41*'01_Assumptions'!D53)-$C26-0-('01_Assumptions'!$C$12/'01_Assumptions'!$C$13)))*(1-'01_Assumptions'!$C$22)+('01_Assumptions'!$C$12/'01_Assumptions'!$C$13)-0))/(1+'01_Assumptions'!$C$21)^2+((((('01_Assumptions'!$C$32*'01_Assumptions'!E52*('01_Assumptions'!$C$37-'01_Assumptions'!$C$38))+('01_Assumptions'!$C$40*'01_Assumptions'!$C$41*'01_Assumptions'!E53)-$C26-0-('01_Assumptions'!$C$12/'01_Assumptions'!$C$13)))*(1-'01_Assumptions'!$C$22)+('01_Assumptions'!$C$12/'01_Assumptions'!$C$13)-0))/(1+'01_Assumptions'!$C$21)^3+((((('01_Assumptions'!$C$32*'01_Assumptions'!F52*('01_Assumptions'!$C$37-'01_Assumptions'!$C$38))+('01_Assumptions'!$C$40*'01_Assumptions'!$C$41*'01_Assumptions'!F53)-$C26-0-('01_Assumptions'!$C$12/'01_Assumptions'!$C$13)))*(1-'01_Assumptions'!$C$22)+('01_Assumptions'!$C$12/'01_Assumptions'!$C$13)-0))/(1+'01_Assumptions'!$C$21)^4+((((('01_Assumptions'!$C$32*'01_Assumptions'!G52*('01_Assumptions'!$C$37-'01_Assumptions'!$C$38))+('01_Assumptions'!$C$40*'01_Assumptions'!$C$41*'01_Assumptions'!G53)-$C26-0-('01_Assumptions'!$C$12/'01_Assumptions'!$C$13)))*(1-'01_Assumptions'!$C$22)+('01_Assumptions'!$C$12/'01_Assumptions'!$C$13)-0))/(1+'01_Assumptions'!$C$21)^5+((((('01_Assumptions'!$C$32*'01_Assumptions'!H52*('01_Assumptions'!$C$37-'01_Assumptions'!$C$38))+('01_Assumptions'!$C$40*'01_Assumptions'!$C$41*'01_Assumptions'!H53)-$C26-0-('01_Assumptions'!$C$12/'01_Assumptions'!$C$13)))*(1-'01_Assumptions'!$C$22)+('01_Assumptions'!$C$12/'01_Assumptions'!$C$13)-0))/(1+'01_Assumptions'!$C$21)^6+((((('01_Assumptions'!$C$32*'01_Assumptions'!I52*('01_Assumptions'!$C$37-'01_Assumptions'!$C$38))+('01_Assumptions'!$C$40*'01_Assumptions'!$C$41*'01_Assumptions'!I53)-$C26-0-('01_Assumptions'!$C$12/'01_Assumptions'!$C$13)))*(1-'01_Assumptions'!$C$22)+('01_Assumptions'!$C$12/'01_Assumptions'!$C$13)-0))/(1+'01_Assumptions'!$C$21)^7+(((((('01_Assumptions'!$C$32*'01_Assumptions'!J52*('01_Assumptions'!$C$37-'01_Assumptions'!$C$38))+('01_Assumptions'!$C$40*'01_Assumptions'!$C$41*'01_Assumptions'!J53)-$C26-0-('01_Assumptions'!$C$12/'01_Assumptions'!$C$13)))*(1-'01_Assumptions'!$C$22)+('01_Assumptions'!$C$12/'01_Assumptions'!$C$13)-0)+('01_Assumptions'!$C$44*'01_Assumptions'!$C$32*'01_Assumptions'!$C$37)+'01_Assumptions'!$C$14*(1-'01_Assumptions'!$C$22)))/(1+'01_Assumptions'!$C$21)^8</f>
        <v/>
      </c>
      <c r="G26" s="24">
        <f>'03_Returns'!C6</f>
        <v/>
      </c>
      <c r="H26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$E26-'01_Assumptions'!$C$43-('01_Assumptions'!$C$12/'01_Assumptions'!$C$13)))*(1-'01_Assumptions'!$C$22)+('01_Assumptions'!$C$12/'01_Assumptions'!$C$13)-('01_Assumptions'!$C$12*(1-'01_Assumptions'!$C$16))))/(1+'01_Assumptions'!$C$21)^1+((((('01_Assumptions'!$C$32*'01_Assumptions'!D52*('01_Assumptions'!$C$37-'01_Assumptions'!$C$38))+('01_Assumptions'!$C$40*'01_Assumptions'!$C$41*'01_Assumptions'!D53)-$E26-0-('01_Assumptions'!$C$12/'01_Assumptions'!$C$13)))*(1-'01_Assumptions'!$C$22)+('01_Assumptions'!$C$12/'01_Assumptions'!$C$13)-0))/(1+'01_Assumptions'!$C$21)^2+((((('01_Assumptions'!$C$32*'01_Assumptions'!E52*('01_Assumptions'!$C$37-'01_Assumptions'!$C$38))+('01_Assumptions'!$C$40*'01_Assumptions'!$C$41*'01_Assumptions'!E53)-$E26-0-('01_Assumptions'!$C$12/'01_Assumptions'!$C$13)))*(1-'01_Assumptions'!$C$22)+('01_Assumptions'!$C$12/'01_Assumptions'!$C$13)-0))/(1+'01_Assumptions'!$C$21)^3+((((('01_Assumptions'!$C$32*'01_Assumptions'!F52*('01_Assumptions'!$C$37-'01_Assumptions'!$C$38))+('01_Assumptions'!$C$40*'01_Assumptions'!$C$41*'01_Assumptions'!F53)-$E26-0-('01_Assumptions'!$C$12/'01_Assumptions'!$C$13)))*(1-'01_Assumptions'!$C$22)+('01_Assumptions'!$C$12/'01_Assumptions'!$C$13)-0))/(1+'01_Assumptions'!$C$21)^4+((((('01_Assumptions'!$C$32*'01_Assumptions'!G52*('01_Assumptions'!$C$37-'01_Assumptions'!$C$38))+('01_Assumptions'!$C$40*'01_Assumptions'!$C$41*'01_Assumptions'!G53)-$E26-0-('01_Assumptions'!$C$12/'01_Assumptions'!$C$13)))*(1-'01_Assumptions'!$C$22)+('01_Assumptions'!$C$12/'01_Assumptions'!$C$13)-0))/(1+'01_Assumptions'!$C$21)^5+((((('01_Assumptions'!$C$32*'01_Assumptions'!H52*('01_Assumptions'!$C$37-'01_Assumptions'!$C$38))+('01_Assumptions'!$C$40*'01_Assumptions'!$C$41*'01_Assumptions'!H53)-$E26-0-('01_Assumptions'!$C$12/'01_Assumptions'!$C$13)))*(1-'01_Assumptions'!$C$22)+('01_Assumptions'!$C$12/'01_Assumptions'!$C$13)-0))/(1+'01_Assumptions'!$C$21)^6+((((('01_Assumptions'!$C$32*'01_Assumptions'!I52*('01_Assumptions'!$C$37-'01_Assumptions'!$C$38))+('01_Assumptions'!$C$40*'01_Assumptions'!$C$41*'01_Assumptions'!I53)-$E26-0-('01_Assumptions'!$C$12/'01_Assumptions'!$C$13)))*(1-'01_Assumptions'!$C$22)+('01_Assumptions'!$C$12/'01_Assumptions'!$C$13)-0))/(1+'01_Assumptions'!$C$21)^7+(((((('01_Assumptions'!$C$32*'01_Assumptions'!J52*('01_Assumptions'!$C$37-'01_Assumptions'!$C$38))+('01_Assumptions'!$C$40*'01_Assumptions'!$C$41*'01_Assumptions'!J53)-$E26-0-('01_Assumptions'!$C$12/'01_Assumptions'!$C$13)))*(1-'01_Assumptions'!$C$22)+('01_Assumptions'!$C$12/'01_Assumptions'!$C$13)-0)+('01_Assumptions'!$C$44*'01_Assumptions'!$C$32*'01_Assumptions'!$C$37)+'01_Assumptions'!$C$14*(1-'01_Assumptions'!$C$22)))/(1+'01_Assumptions'!$C$21)^8</f>
        <v/>
      </c>
      <c r="I26" s="24">
        <f>ABS(H26-F26)</f>
        <v/>
      </c>
    </row>
    <row r="27">
      <c r="B27" s="26" t="inlineStr">
        <is>
          <t>WACC (±100 bps)</t>
        </is>
      </c>
      <c r="C27" s="20">
        <f>'01_Assumptions'!C21-0.01</f>
        <v/>
      </c>
      <c r="D27" s="20">
        <f>'01_Assumptions'!C21</f>
        <v/>
      </c>
      <c r="E27" s="20">
        <f>'01_Assumptions'!C21+0.01</f>
        <v/>
      </c>
      <c r="F27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C27)^1+((((('01_Assumptions'!$C$32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C27)^2+((((('01_Assumptions'!$C$32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C27)^3+((((('01_Assumptions'!$C$32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C27)^4+((((('01_Assumptions'!$C$32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C27)^5+((((('01_Assumptions'!$C$32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C27)^6+((((('01_Assumptions'!$C$32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C27)^7+(((((('01_Assumptions'!$C$32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'01_Assumptions'!$C$32*'01_Assumptions'!$C$37)+'01_Assumptions'!$C$14*(1-'01_Assumptions'!$C$22)))/(1+$C27)^8</f>
        <v/>
      </c>
      <c r="G27" s="24">
        <f>'03_Returns'!C6</f>
        <v/>
      </c>
      <c r="H27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'01_Assumptions'!$C$12/'01_Assumptions'!$C$13)))*(1-'01_Assumptions'!$C$22)+('01_Assumptions'!$C$12/'01_Assumptions'!$C$13)-('01_Assumptions'!$C$12*(1-'01_Assumptions'!$C$16))))/(1+$E27)^1+((((('01_Assumptions'!$C$32*'01_Assumptions'!D52*('01_Assumptions'!$C$37-'01_Assumptions'!$C$38))+('01_Assumptions'!$C$40*'01_Assumptions'!$C$41*'01_Assumptions'!D53)-'01_Assumptions'!$C$42-0-('01_Assumptions'!$C$12/'01_Assumptions'!$C$13)))*(1-'01_Assumptions'!$C$22)+('01_Assumptions'!$C$12/'01_Assumptions'!$C$13)-0))/(1+$E27)^2+((((('01_Assumptions'!$C$32*'01_Assumptions'!E52*('01_Assumptions'!$C$37-'01_Assumptions'!$C$38))+('01_Assumptions'!$C$40*'01_Assumptions'!$C$41*'01_Assumptions'!E53)-'01_Assumptions'!$C$42-0-('01_Assumptions'!$C$12/'01_Assumptions'!$C$13)))*(1-'01_Assumptions'!$C$22)+('01_Assumptions'!$C$12/'01_Assumptions'!$C$13)-0))/(1+$E27)^3+((((('01_Assumptions'!$C$32*'01_Assumptions'!F52*('01_Assumptions'!$C$37-'01_Assumptions'!$C$38))+('01_Assumptions'!$C$40*'01_Assumptions'!$C$41*'01_Assumptions'!F53)-'01_Assumptions'!$C$42-0-('01_Assumptions'!$C$12/'01_Assumptions'!$C$13)))*(1-'01_Assumptions'!$C$22)+('01_Assumptions'!$C$12/'01_Assumptions'!$C$13)-0))/(1+$E27)^4+((((('01_Assumptions'!$C$32*'01_Assumptions'!G52*('01_Assumptions'!$C$37-'01_Assumptions'!$C$38))+('01_Assumptions'!$C$40*'01_Assumptions'!$C$41*'01_Assumptions'!G53)-'01_Assumptions'!$C$42-0-('01_Assumptions'!$C$12/'01_Assumptions'!$C$13)))*(1-'01_Assumptions'!$C$22)+('01_Assumptions'!$C$12/'01_Assumptions'!$C$13)-0))/(1+$E27)^5+((((('01_Assumptions'!$C$32*'01_Assumptions'!H52*('01_Assumptions'!$C$37-'01_Assumptions'!$C$38))+('01_Assumptions'!$C$40*'01_Assumptions'!$C$41*'01_Assumptions'!H53)-'01_Assumptions'!$C$42-0-('01_Assumptions'!$C$12/'01_Assumptions'!$C$13)))*(1-'01_Assumptions'!$C$22)+('01_Assumptions'!$C$12/'01_Assumptions'!$C$13)-0))/(1+$E27)^6+((((('01_Assumptions'!$C$32*'01_Assumptions'!I52*('01_Assumptions'!$C$37-'01_Assumptions'!$C$38))+('01_Assumptions'!$C$40*'01_Assumptions'!$C$41*'01_Assumptions'!I53)-'01_Assumptions'!$C$42-0-('01_Assumptions'!$C$12/'01_Assumptions'!$C$13)))*(1-'01_Assumptions'!$C$22)+('01_Assumptions'!$C$12/'01_Assumptions'!$C$13)-0))/(1+$E27)^7+(((((('01_Assumptions'!$C$32*'01_Assumptions'!J52*('01_Assumptions'!$C$37-'01_Assumptions'!$C$38))+('01_Assumptions'!$C$40*'01_Assumptions'!$C$41*'01_Assumptions'!J53)-'01_Assumptions'!$C$42-0-('01_Assumptions'!$C$12/'01_Assumptions'!$C$13)))*(1-'01_Assumptions'!$C$22)+('01_Assumptions'!$C$12/'01_Assumptions'!$C$13)-0)+('01_Assumptions'!$C$44*'01_Assumptions'!$C$32*'01_Assumptions'!$C$37)+'01_Assumptions'!$C$14*(1-'01_Assumptions'!$C$22)))/(1+$E27)^8</f>
        <v/>
      </c>
      <c r="I27" s="24">
        <f>ABS(H27-F27)</f>
        <v/>
      </c>
    </row>
    <row r="28">
      <c r="B28" s="26" t="inlineStr">
        <is>
          <t>Tax rate</t>
        </is>
      </c>
      <c r="C28" s="20">
        <f>'01_Assumptions'!C22-0.025</f>
        <v/>
      </c>
      <c r="D28" s="20">
        <f>'01_Assumptions'!C22</f>
        <v/>
      </c>
      <c r="E28" s="20">
        <f>'01_Assumptions'!C22+0.025</f>
        <v/>
      </c>
      <c r="F28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'01_Assumptions'!$C$12/'01_Assumptions'!$C$13)))*(1-$C28)+('01_Assumptions'!$C$12/'01_Assumptions'!$C$13)-('01_Assumptions'!$C$12*(1-'01_Assumptions'!$C$16))))/(1+'01_Assumptions'!$C$21)^1+((((('01_Assumptions'!$C$32*'01_Assumptions'!D52*('01_Assumptions'!$C$37-'01_Assumptions'!$C$38))+('01_Assumptions'!$C$40*'01_Assumptions'!$C$41*'01_Assumptions'!D53)-'01_Assumptions'!$C$42-0-('01_Assumptions'!$C$12/'01_Assumptions'!$C$13)))*(1-$C28)+('01_Assumptions'!$C$12/'01_Assumptions'!$C$13)-0))/(1+'01_Assumptions'!$C$21)^2+((((('01_Assumptions'!$C$32*'01_Assumptions'!E52*('01_Assumptions'!$C$37-'01_Assumptions'!$C$38))+('01_Assumptions'!$C$40*'01_Assumptions'!$C$41*'01_Assumptions'!E53)-'01_Assumptions'!$C$42-0-('01_Assumptions'!$C$12/'01_Assumptions'!$C$13)))*(1-$C28)+('01_Assumptions'!$C$12/'01_Assumptions'!$C$13)-0))/(1+'01_Assumptions'!$C$21)^3+((((('01_Assumptions'!$C$32*'01_Assumptions'!F52*('01_Assumptions'!$C$37-'01_Assumptions'!$C$38))+('01_Assumptions'!$C$40*'01_Assumptions'!$C$41*'01_Assumptions'!F53)-'01_Assumptions'!$C$42-0-('01_Assumptions'!$C$12/'01_Assumptions'!$C$13)))*(1-$C28)+('01_Assumptions'!$C$12/'01_Assumptions'!$C$13)-0))/(1+'01_Assumptions'!$C$21)^4+((((('01_Assumptions'!$C$32*'01_Assumptions'!G52*('01_Assumptions'!$C$37-'01_Assumptions'!$C$38))+('01_Assumptions'!$C$40*'01_Assumptions'!$C$41*'01_Assumptions'!G53)-'01_Assumptions'!$C$42-0-('01_Assumptions'!$C$12/'01_Assumptions'!$C$13)))*(1-$C28)+('01_Assumptions'!$C$12/'01_Assumptions'!$C$13)-0))/(1+'01_Assumptions'!$C$21)^5+((((('01_Assumptions'!$C$32*'01_Assumptions'!H52*('01_Assumptions'!$C$37-'01_Assumptions'!$C$38))+('01_Assumptions'!$C$40*'01_Assumptions'!$C$41*'01_Assumptions'!H53)-'01_Assumptions'!$C$42-0-('01_Assumptions'!$C$12/'01_Assumptions'!$C$13)))*(1-$C28)+('01_Assumptions'!$C$12/'01_Assumptions'!$C$13)-0))/(1+'01_Assumptions'!$C$21)^6+((((('01_Assumptions'!$C$32*'01_Assumptions'!I52*('01_Assumptions'!$C$37-'01_Assumptions'!$C$38))+('01_Assumptions'!$C$40*'01_Assumptions'!$C$41*'01_Assumptions'!I53)-'01_Assumptions'!$C$42-0-('01_Assumptions'!$C$12/'01_Assumptions'!$C$13)))*(1-$C28)+('01_Assumptions'!$C$12/'01_Assumptions'!$C$13)-0))/(1+'01_Assumptions'!$C$21)^7+(((((('01_Assumptions'!$C$32*'01_Assumptions'!J52*('01_Assumptions'!$C$37-'01_Assumptions'!$C$38))+('01_Assumptions'!$C$40*'01_Assumptions'!$C$41*'01_Assumptions'!J53)-'01_Assumptions'!$C$42-0-('01_Assumptions'!$C$12/'01_Assumptions'!$C$13)))*(1-$C28)+('01_Assumptions'!$C$12/'01_Assumptions'!$C$13)-0)+('01_Assumptions'!$C$44*'01_Assumptions'!$C$32*'01_Assumptions'!$C$37)+'01_Assumptions'!$C$14*(1-$C28)))/(1+'01_Assumptions'!$C$21)^8</f>
        <v/>
      </c>
      <c r="G28" s="24">
        <f>'03_Returns'!C6</f>
        <v/>
      </c>
      <c r="H28" s="16">
        <f>(-'01_Assumptions'!$C$12*'01_Assumptions'!$C$16-('01_Assumptions'!$C$44*'01_Assumptions'!$C$32*'01_Assumptions'!$C$37))+((((('01_Assumptions'!$C$32*'01_Assumptions'!C52*('01_Assumptions'!$C$37-'01_Assumptions'!$C$38))+('01_Assumptions'!$C$40*'01_Assumptions'!$C$41*'01_Assumptions'!C53)-'01_Assumptions'!$C$42-'01_Assumptions'!$C$43-('01_Assumptions'!$C$12/'01_Assumptions'!$C$13)))*(1-$E28)+('01_Assumptions'!$C$12/'01_Assumptions'!$C$13)-('01_Assumptions'!$C$12*(1-'01_Assumptions'!$C$16))))/(1+'01_Assumptions'!$C$21)^1+((((('01_Assumptions'!$C$32*'01_Assumptions'!D52*('01_Assumptions'!$C$37-'01_Assumptions'!$C$38))+('01_Assumptions'!$C$40*'01_Assumptions'!$C$41*'01_Assumptions'!D53)-'01_Assumptions'!$C$42-0-('01_Assumptions'!$C$12/'01_Assumptions'!$C$13)))*(1-$E28)+('01_Assumptions'!$C$12/'01_Assumptions'!$C$13)-0))/(1+'01_Assumptions'!$C$21)^2+((((('01_Assumptions'!$C$32*'01_Assumptions'!E52*('01_Assumptions'!$C$37-'01_Assumptions'!$C$38))+('01_Assumptions'!$C$40*'01_Assumptions'!$C$41*'01_Assumptions'!E53)-'01_Assumptions'!$C$42-0-('01_Assumptions'!$C$12/'01_Assumptions'!$C$13)))*(1-$E28)+('01_Assumptions'!$C$12/'01_Assumptions'!$C$13)-0))/(1+'01_Assumptions'!$C$21)^3+((((('01_Assumptions'!$C$32*'01_Assumptions'!F52*('01_Assumptions'!$C$37-'01_Assumptions'!$C$38))+('01_Assumptions'!$C$40*'01_Assumptions'!$C$41*'01_Assumptions'!F53)-'01_Assumptions'!$C$42-0-('01_Assumptions'!$C$12/'01_Assumptions'!$C$13)))*(1-$E28)+('01_Assumptions'!$C$12/'01_Assumptions'!$C$13)-0))/(1+'01_Assumptions'!$C$21)^4+((((('01_Assumptions'!$C$32*'01_Assumptions'!G52*('01_Assumptions'!$C$37-'01_Assumptions'!$C$38))+('01_Assumptions'!$C$40*'01_Assumptions'!$C$41*'01_Assumptions'!G53)-'01_Assumptions'!$C$42-0-('01_Assumptions'!$C$12/'01_Assumptions'!$C$13)))*(1-$E28)+('01_Assumptions'!$C$12/'01_Assumptions'!$C$13)-0))/(1+'01_Assumptions'!$C$21)^5+((((('01_Assumptions'!$C$32*'01_Assumptions'!H52*('01_Assumptions'!$C$37-'01_Assumptions'!$C$38))+('01_Assumptions'!$C$40*'01_Assumptions'!$C$41*'01_Assumptions'!H53)-'01_Assumptions'!$C$42-0-('01_Assumptions'!$C$12/'01_Assumptions'!$C$13)))*(1-$E28)+('01_Assumptions'!$C$12/'01_Assumptions'!$C$13)-0))/(1+'01_Assumptions'!$C$21)^6+((((('01_Assumptions'!$C$32*'01_Assumptions'!I52*('01_Assumptions'!$C$37-'01_Assumptions'!$C$38))+('01_Assumptions'!$C$40*'01_Assumptions'!$C$41*'01_Assumptions'!I53)-'01_Assumptions'!$C$42-0-('01_Assumptions'!$C$12/'01_Assumptions'!$C$13)))*(1-$E28)+('01_Assumptions'!$C$12/'01_Assumptions'!$C$13)-0))/(1+'01_Assumptions'!$C$21)^7+(((((('01_Assumptions'!$C$32*'01_Assumptions'!J52*('01_Assumptions'!$C$37-'01_Assumptions'!$C$38))+('01_Assumptions'!$C$40*'01_Assumptions'!$C$41*'01_Assumptions'!J53)-'01_Assumptions'!$C$42-0-('01_Assumptions'!$C$12/'01_Assumptions'!$C$13)))*(1-$E28)+('01_Assumptions'!$C$12/'01_Assumptions'!$C$13)-0)+('01_Assumptions'!$C$44*'01_Assumptions'!$C$32*'01_Assumptions'!$C$37)+'01_Assumptions'!$C$14*(1-$E28)))/(1+'01_Assumptions'!$C$21)^8</f>
        <v/>
      </c>
      <c r="I28" s="24">
        <f>ABS(H28-F28)</f>
        <v/>
      </c>
    </row>
    <row r="30">
      <c r="B30" t="inlineStr">
        <is>
          <t>Tornado chart data (NPV vs base)</t>
        </is>
      </c>
    </row>
    <row r="31">
      <c r="B31" t="inlineStr">
        <is>
          <t>Driver</t>
        </is>
      </c>
      <c r="C31" t="inlineStr">
        <is>
          <t>Downside vs base</t>
        </is>
      </c>
      <c r="D31" t="inlineStr">
        <is>
          <t>Upside vs base</t>
        </is>
      </c>
    </row>
    <row r="32">
      <c r="B32" s="28">
        <f>B22</f>
        <v/>
      </c>
      <c r="C32" s="16">
        <f>F22-G22</f>
        <v/>
      </c>
      <c r="D32" s="16">
        <f>H22-G22</f>
        <v/>
      </c>
    </row>
    <row r="33">
      <c r="B33" s="28">
        <f>B23</f>
        <v/>
      </c>
      <c r="C33" s="16">
        <f>F23-G23</f>
        <v/>
      </c>
      <c r="D33" s="16">
        <f>H23-G23</f>
        <v/>
      </c>
    </row>
    <row r="34">
      <c r="B34" s="28">
        <f>B24</f>
        <v/>
      </c>
      <c r="C34" s="16">
        <f>F24-G24</f>
        <v/>
      </c>
      <c r="D34" s="16">
        <f>H24-G24</f>
        <v/>
      </c>
    </row>
    <row r="35">
      <c r="B35" s="28">
        <f>B25</f>
        <v/>
      </c>
      <c r="C35" s="16">
        <f>F25-G25</f>
        <v/>
      </c>
      <c r="D35" s="16">
        <f>H25-G25</f>
        <v/>
      </c>
    </row>
    <row r="36">
      <c r="B36" s="28">
        <f>B26</f>
        <v/>
      </c>
      <c r="C36" s="16">
        <f>F26-G26</f>
        <v/>
      </c>
      <c r="D36" s="16">
        <f>H26-G26</f>
        <v/>
      </c>
    </row>
    <row r="37">
      <c r="B37" s="28">
        <f>B27</f>
        <v/>
      </c>
      <c r="C37" s="16">
        <f>F27-G27</f>
        <v/>
      </c>
      <c r="D37" s="16">
        <f>H27-G27</f>
        <v/>
      </c>
    </row>
    <row r="38">
      <c r="B38" s="28">
        <f>B28</f>
        <v/>
      </c>
      <c r="C38" s="16">
        <f>F28-G28</f>
        <v/>
      </c>
      <c r="D38" s="16">
        <f>H28-G28</f>
        <v/>
      </c>
    </row>
    <row r="58">
      <c r="B58" s="15" t="inlineStr">
        <is>
          <t>Grid and tornado recompute from Assumptions (ramps, tax, NWC, salvage). Open in Excel so NPV / IRR evaluate.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K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18" customWidth="1" min="10" max="10"/>
    <col width="14" customWidth="1" min="11" max="11"/>
  </cols>
  <sheetData>
    <row r="2">
      <c r="B2" s="1" t="inlineStr">
        <is>
          <t>Capital committee one-pager</t>
        </is>
      </c>
    </row>
    <row r="3">
      <c r="B3" s="2">
        <f>'01_Assumptions'!C6</f>
        <v/>
      </c>
      <c r="C3" s="42">
        <f>CONCAT('01_Assumptions'!C7,"  ·  request year ",TEXT('01_Assumptions'!C8,"0"))</f>
        <v/>
      </c>
      <c r="D3" s="11" t="n"/>
      <c r="E3" s="11" t="n"/>
      <c r="F3" s="12" t="n"/>
    </row>
    <row r="5">
      <c r="B5" s="43" t="inlineStr">
        <is>
          <t>Ask ($000s)</t>
        </is>
      </c>
      <c r="C5" s="44" t="n"/>
      <c r="D5" s="43" t="inlineStr">
        <is>
          <t>NPV @ WACC</t>
        </is>
      </c>
      <c r="E5" s="44" t="n"/>
      <c r="F5" s="43" t="inlineStr">
        <is>
          <t>IRR</t>
        </is>
      </c>
      <c r="G5" s="44" t="n"/>
      <c r="H5" s="43" t="inlineStr">
        <is>
          <t>Payback (years)</t>
        </is>
      </c>
      <c r="I5" s="44" t="n"/>
    </row>
    <row r="6">
      <c r="B6" s="45">
        <f>'01_Assumptions'!C12</f>
        <v/>
      </c>
      <c r="C6" s="46" t="n"/>
      <c r="D6" s="45">
        <f>'03_Returns'!C6</f>
        <v/>
      </c>
      <c r="E6" s="46" t="n"/>
      <c r="F6" s="47">
        <f>'03_Returns'!C7</f>
        <v/>
      </c>
      <c r="G6" s="46" t="n"/>
      <c r="H6" s="48">
        <f>'03_Returns'!C17</f>
        <v/>
      </c>
      <c r="I6" s="46" t="n"/>
    </row>
    <row r="8">
      <c r="B8" t="inlineStr">
        <is>
          <t>PI</t>
        </is>
      </c>
      <c r="C8" s="23">
        <f>'03_Returns'!C27</f>
        <v/>
      </c>
      <c r="D8" t="inlineStr">
        <is>
          <t>Simple ROI</t>
        </is>
      </c>
      <c r="E8" s="20">
        <f>'03_Returns'!C30</f>
        <v/>
      </c>
      <c r="F8" t="inlineStr">
        <is>
          <t>Discounted payback</t>
        </is>
      </c>
      <c r="G8" s="35">
        <f>'03_Returns'!C22</f>
        <v/>
      </c>
      <c r="H8" t="inlineStr">
        <is>
          <t>Recommendation</t>
        </is>
      </c>
      <c r="I8" s="49">
        <f>'03_Returns'!C39</f>
        <v/>
      </c>
      <c r="J8" s="12" t="n"/>
    </row>
    <row r="10">
      <c r="B10" s="8" t="inlineStr">
        <is>
          <t>Capacity / ROI story</t>
        </is>
      </c>
      <c r="C10" s="9" t="n"/>
      <c r="D10" s="9" t="n"/>
      <c r="E10" s="9" t="n"/>
      <c r="F10" s="9" t="n"/>
      <c r="G10" s="9" t="n"/>
    </row>
    <row r="11">
      <c r="B11" s="25" t="inlineStr">
        <is>
          <t>Metric</t>
        </is>
      </c>
      <c r="C11" s="25" t="inlineStr">
        <is>
          <t>Today</t>
        </is>
      </c>
      <c r="D11" s="25" t="inlineStr">
        <is>
          <t>With project</t>
        </is>
      </c>
      <c r="E11" s="25" t="inlineStr">
        <is>
          <t>Change</t>
        </is>
      </c>
    </row>
    <row r="12">
      <c r="B12" s="28" t="inlineStr">
        <is>
          <t>Volume (000 cases)</t>
        </is>
      </c>
      <c r="C12" s="21">
        <f>'01_Assumptions'!C27</f>
        <v/>
      </c>
      <c r="D12" s="50">
        <f>'01_Assumptions'!C33</f>
        <v/>
      </c>
      <c r="E12" s="21">
        <f>D12-C12</f>
        <v/>
      </c>
    </row>
    <row r="13">
      <c r="B13" s="28" t="inlineStr">
        <is>
          <t>Capacity (000 cases)</t>
        </is>
      </c>
      <c r="C13" s="21">
        <f>'01_Assumptions'!C28</f>
        <v/>
      </c>
      <c r="D13" s="50">
        <f>'01_Assumptions'!C31</f>
        <v/>
      </c>
      <c r="E13" s="21">
        <f>D13-C13</f>
        <v/>
      </c>
    </row>
    <row r="14">
      <c r="B14" s="28" t="inlineStr">
        <is>
          <t>Utilization</t>
        </is>
      </c>
      <c r="C14" s="20">
        <f>'01_Assumptions'!C29</f>
        <v/>
      </c>
      <c r="D14" s="34">
        <f>'01_Assumptions'!C34</f>
        <v/>
      </c>
      <c r="E14" s="20">
        <f>D14-C14</f>
        <v/>
      </c>
    </row>
    <row r="16">
      <c r="B16" s="8" t="inlineStr">
        <is>
          <t>Full-run economics ($000s / year at 100% ramp)</t>
        </is>
      </c>
      <c r="C16" s="9" t="n"/>
      <c r="D16" s="9" t="n"/>
    </row>
    <row r="17">
      <c r="B17" t="inlineStr">
        <is>
          <t>Incremental contribution</t>
        </is>
      </c>
      <c r="C17" s="24">
        <f>'01_Assumptions'!C47</f>
        <v/>
      </c>
    </row>
    <row r="18">
      <c r="B18" t="inlineStr">
        <is>
          <t>Conversion savings</t>
        </is>
      </c>
      <c r="C18" s="16">
        <f>'01_Assumptions'!C48</f>
        <v/>
      </c>
    </row>
    <row r="19">
      <c r="B19" t="inlineStr">
        <is>
          <t>Incremental fixed opex</t>
        </is>
      </c>
      <c r="C19" s="16">
        <f>'01_Assumptions'!C42</f>
        <v/>
      </c>
    </row>
    <row r="20">
      <c r="B20" t="inlineStr">
        <is>
          <t>Full-run EBITDA run-rate</t>
        </is>
      </c>
      <c r="C20" s="24">
        <f>C17+C18-C19</f>
        <v/>
      </c>
      <c r="D20" s="15" t="inlineStr">
        <is>
          <t>Before start-up (Year 1 only) and D&amp;A.</t>
        </is>
      </c>
    </row>
    <row r="22">
      <c r="B22" s="4" t="inlineStr">
        <is>
          <t>Why this project</t>
        </is>
      </c>
    </row>
    <row r="23">
      <c r="B23" t="inlineStr">
        <is>
          <t>1. The Midwest line is at ~94% utilization — overtime and co-pack are already the relief valve.</t>
        </is>
      </c>
    </row>
    <row r="24">
      <c r="B24" t="inlineStr">
        <is>
          <t>2. The new line adds 4,500k cases of nameplate and only needs 1,800k of lift to hold the returns case.</t>
        </is>
      </c>
    </row>
    <row r="25">
      <c r="B25" t="inlineStr">
        <is>
          <t>3. Conversion savings on the base volume ($0.32/case) are independent of the growth bet.</t>
        </is>
      </c>
    </row>
    <row r="26">
      <c r="B26" t="inlineStr">
        <is>
          <t>4. Headroom to ~81% utilization leaves a growth option the DCF does not credit.</t>
        </is>
      </c>
    </row>
    <row r="28">
      <c r="B28" s="4" t="inlineStr">
        <is>
          <t>Key risks (not in the numbers)</t>
        </is>
      </c>
    </row>
    <row r="29">
      <c r="B29" t="inlineStr">
        <is>
          <t>Volume lift slips (see sensitivity grid). Commissioning delay pushes ramp right. Commodity inflation erodes $/case contribution. Residual value is a modelling convenience.</t>
        </is>
      </c>
    </row>
    <row r="31">
      <c r="B31" s="8" t="inlineStr">
        <is>
          <t>Unlevered FCF ($000s)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B32" s="25" t="inlineStr">
        <is>
          <t>FCF</t>
        </is>
      </c>
      <c r="C32" s="25" t="inlineStr">
        <is>
          <t>Y0</t>
        </is>
      </c>
      <c r="D32" s="25" t="inlineStr">
        <is>
          <t>Y1</t>
        </is>
      </c>
      <c r="E32" s="25" t="inlineStr">
        <is>
          <t>Y2</t>
        </is>
      </c>
      <c r="F32" s="25" t="inlineStr">
        <is>
          <t>Y3</t>
        </is>
      </c>
      <c r="G32" s="25" t="inlineStr">
        <is>
          <t>Y4</t>
        </is>
      </c>
      <c r="H32" s="25" t="inlineStr">
        <is>
          <t>Y5</t>
        </is>
      </c>
      <c r="I32" s="25" t="inlineStr">
        <is>
          <t>Y6</t>
        </is>
      </c>
      <c r="J32" s="25" t="inlineStr">
        <is>
          <t>Y7</t>
        </is>
      </c>
      <c r="K32" s="25" t="inlineStr">
        <is>
          <t>Y8</t>
        </is>
      </c>
    </row>
    <row r="33">
      <c r="B33" s="28" t="inlineStr">
        <is>
          <t>Unlevered FCF</t>
        </is>
      </c>
      <c r="C33" s="24">
        <f>'02_Cash_Flows'!C27</f>
        <v/>
      </c>
      <c r="D33" s="24">
        <f>'02_Cash_Flows'!D27</f>
        <v/>
      </c>
      <c r="E33" s="24">
        <f>'02_Cash_Flows'!E27</f>
        <v/>
      </c>
      <c r="F33" s="24">
        <f>'02_Cash_Flows'!F27</f>
        <v/>
      </c>
      <c r="G33" s="24">
        <f>'02_Cash_Flows'!G27</f>
        <v/>
      </c>
      <c r="H33" s="24">
        <f>'02_Cash_Flows'!H27</f>
        <v/>
      </c>
      <c r="I33" s="24">
        <f>'02_Cash_Flows'!I27</f>
        <v/>
      </c>
      <c r="J33" s="24">
        <f>'02_Cash_Flows'!J27</f>
        <v/>
      </c>
      <c r="K33" s="24">
        <f>'02_Cash_Flows'!K27</f>
        <v/>
      </c>
    </row>
    <row r="50">
      <c r="B50" s="15" t="inlineStr">
        <is>
          <t>Hurdles: NPV ≥ 0, IRR ≥ 15%, payback ≤ 5 years. Switch yellow cells on Assumptions; this page is formulas.</t>
        </is>
      </c>
    </row>
  </sheetData>
  <mergeCells count="6">
    <mergeCell ref="D6:E6"/>
    <mergeCell ref="B6:C6"/>
    <mergeCell ref="C3:F3"/>
    <mergeCell ref="H6:I6"/>
    <mergeCell ref="F6:G6"/>
    <mergeCell ref="I8:J8"/>
  </mergeCells>
  <pageMargins left="0.75" right="0.75" top="1" bottom="1" header="0.5" footer="0.5"/>
  <pageSetup orientation="landscape" paperSize="3" fitToHeight="1" fitToWidth="1"/>
  <headerFooter>
    <oddHeader/>
    <oddFooter>&amp;LNorthline Consumer Products  |  fictional sample  |  $000s&amp;RPage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B2:D3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22" customWidth="1" min="3" max="3"/>
    <col width="82" customWidth="1" min="4" max="4"/>
  </cols>
  <sheetData>
    <row r="2">
      <c r="B2" s="1" t="inlineStr">
        <is>
          <t>Data dictionary</t>
        </is>
      </c>
    </row>
    <row r="3">
      <c r="B3" s="3" t="inlineStr">
        <is>
          <t>Field definitions so another analyst can inherit the file.</t>
        </is>
      </c>
    </row>
    <row r="5">
      <c r="B5" s="51" t="inlineStr">
        <is>
          <t>Field</t>
        </is>
      </c>
      <c r="C5" s="51" t="inlineStr">
        <is>
          <t>Tab</t>
        </is>
      </c>
      <c r="D5" s="51" t="inlineStr">
        <is>
          <t>Definition</t>
        </is>
      </c>
    </row>
    <row r="6" ht="32" customHeight="1">
      <c r="B6" s="26" t="inlineStr">
        <is>
          <t>Gross capex</t>
        </is>
      </c>
      <c r="C6" s="28" t="inlineStr">
        <is>
          <t>01_Assumptions</t>
        </is>
      </c>
      <c r="D6" s="52" t="inlineStr">
        <is>
          <t>Cash equipment + install + commissioning. Spent Year 0 × the Year-0 % (sample 100%).</t>
        </is>
      </c>
    </row>
    <row r="7" ht="32" customHeight="1">
      <c r="B7" s="26" t="inlineStr">
        <is>
          <t>Useful life</t>
        </is>
      </c>
      <c r="C7" s="28" t="inlineStr">
        <is>
          <t>01_Assumptions</t>
        </is>
      </c>
      <c r="D7" s="52" t="inlineStr">
        <is>
          <t>Straight-line D&amp;A years. Sample 8. D&amp;A = capex / life (to zero).</t>
        </is>
      </c>
    </row>
    <row r="8" ht="32" customHeight="1">
      <c r="B8" s="26" t="inlineStr">
        <is>
          <t>Salvage</t>
        </is>
      </c>
      <c r="C8" s="28" t="inlineStr">
        <is>
          <t>01_Assumptions</t>
        </is>
      </c>
      <c r="D8" s="52" t="inlineStr">
        <is>
          <t>Cash residual at Year 8. Book value is 0, so salvage is taxed in full.</t>
        </is>
      </c>
    </row>
    <row r="9" ht="32" customHeight="1">
      <c r="B9" s="26" t="inlineStr">
        <is>
          <t>WACC</t>
        </is>
      </c>
      <c r="C9" s="28" t="inlineStr">
        <is>
          <t>01_Assumptions</t>
        </is>
      </c>
      <c r="D9" s="52" t="inlineStr">
        <is>
          <t>Discount rate for NPV and discounted payback. Sample 9%.</t>
        </is>
      </c>
    </row>
    <row r="10" ht="32" customHeight="1">
      <c r="B10" s="26" t="inlineStr">
        <is>
          <t>Tax rate</t>
        </is>
      </c>
      <c r="C10" s="28" t="inlineStr">
        <is>
          <t>01_Assumptions</t>
        </is>
      </c>
      <c r="D10" s="52" t="inlineStr">
        <is>
          <t>Applied to EBIT each year. No NOL carryforward.</t>
        </is>
      </c>
    </row>
    <row r="11" ht="32" customHeight="1">
      <c r="B11" s="26" t="inlineStr">
        <is>
          <t>Hurdle IRR / max payback</t>
        </is>
      </c>
      <c r="C11" s="28" t="inlineStr">
        <is>
          <t>01_Assumptions</t>
        </is>
      </c>
      <c r="D11" s="52" t="inlineStr">
        <is>
          <t>Capital-committee gates. Sample 15% IRR and 5.0 years.</t>
        </is>
      </c>
    </row>
    <row r="12" ht="32" customHeight="1">
      <c r="B12" s="26" t="inlineStr">
        <is>
          <t>Current volume / capacity</t>
        </is>
      </c>
      <c r="C12" s="28" t="inlineStr">
        <is>
          <t>01_Assumptions</t>
        </is>
      </c>
      <c r="D12" s="52" t="inlineStr">
        <is>
          <t>000 cases. Utilization = volume / capacity. Sample ~94%.</t>
        </is>
      </c>
    </row>
    <row r="13" ht="32" customHeight="1">
      <c r="B13" s="26" t="inlineStr">
        <is>
          <t>New line capacity</t>
        </is>
      </c>
      <c r="C13" s="28" t="inlineStr">
        <is>
          <t>01_Assumptions</t>
        </is>
      </c>
      <c r="D13" s="52" t="inlineStr">
        <is>
          <t>Nameplate add from the project. Post capacity = current + new.</t>
        </is>
      </c>
    </row>
    <row r="14" ht="32" customHeight="1">
      <c r="B14" s="26" t="inlineStr">
        <is>
          <t>Volume lift</t>
        </is>
      </c>
      <c r="C14" s="28" t="inlineStr">
        <is>
          <t>01_Assumptions</t>
        </is>
      </c>
      <c r="D14" s="52" t="inlineStr">
        <is>
          <t>Full-run incremental cases the returns case needs. Ramped on the volume-lift row.</t>
        </is>
      </c>
    </row>
    <row r="15" ht="32" customHeight="1">
      <c r="B15" s="26" t="inlineStr">
        <is>
          <t>Net price / variable cost</t>
        </is>
      </c>
      <c r="C15" s="28" t="inlineStr">
        <is>
          <t>01_Assumptions</t>
        </is>
      </c>
      <c r="D15" s="52" t="inlineStr">
        <is>
          <t>$ per case on the lift. Contribution = price − VC. Revenue $000s = 000 cases × $ per case.</t>
        </is>
      </c>
    </row>
    <row r="16" ht="32" customHeight="1">
      <c r="B16" s="26" t="inlineStr">
        <is>
          <t>Conversion savings $/case</t>
        </is>
      </c>
      <c r="C16" s="28" t="inlineStr">
        <is>
          <t>01_Assumptions</t>
        </is>
      </c>
      <c r="D16" s="52" t="inlineStr">
        <is>
          <t>Unit-cost takeout on the existing base volume (labor, energy, scrap).</t>
        </is>
      </c>
    </row>
    <row r="17" ht="32" customHeight="1">
      <c r="B17" s="26" t="inlineStr">
        <is>
          <t>Incremental fixed opex</t>
        </is>
      </c>
      <c r="C17" s="28" t="inlineStr">
        <is>
          <t>01_Assumptions</t>
        </is>
      </c>
      <c r="D17" s="52" t="inlineStr">
        <is>
          <t>Crew / maintenance / energy on the new line, Years 1–8.</t>
        </is>
      </c>
    </row>
    <row r="18" ht="32" customHeight="1">
      <c r="B18" s="26" t="inlineStr">
        <is>
          <t>Start-up opex</t>
        </is>
      </c>
      <c r="C18" s="28" t="inlineStr">
        <is>
          <t>01_Assumptions</t>
        </is>
      </c>
      <c r="D18" s="52" t="inlineStr">
        <is>
          <t>One-time Year 1 commissioning cost, pre-tax.</t>
        </is>
      </c>
    </row>
    <row r="19" ht="32" customHeight="1">
      <c r="B19" s="26" t="inlineStr">
        <is>
          <t>NWC %</t>
        </is>
      </c>
      <c r="C19" s="28" t="inlineStr">
        <is>
          <t>01_Assumptions</t>
        </is>
      </c>
      <c r="D19" s="52" t="inlineStr">
        <is>
          <t>Year-0 investment = % × full-run incremental revenue. Recovered at Year 8.</t>
        </is>
      </c>
    </row>
    <row r="20" ht="32" customHeight="1">
      <c r="B20" s="26" t="inlineStr">
        <is>
          <t>Volume-lift ramp / savings ramp</t>
        </is>
      </c>
      <c r="C20" s="28" t="inlineStr">
        <is>
          <t>01_Assumptions</t>
        </is>
      </c>
      <c r="D20" s="52" t="inlineStr">
        <is>
          <t>Share of full run-rate by operating year. Sample volume 55/85/100%; savings 70/95/100%.</t>
        </is>
      </c>
    </row>
    <row r="21" ht="32" customHeight="1">
      <c r="B21" s="26" t="inlineStr">
        <is>
          <t>Unlevered FCF</t>
        </is>
      </c>
      <c r="C21" s="28" t="inlineStr">
        <is>
          <t>02_Cash_Flows</t>
        </is>
      </c>
      <c r="D21" s="52" t="inlineStr">
        <is>
          <t>NOPAT + D&amp;A − capex − ΔNWC + NWC recovery + after-tax salvage.</t>
        </is>
      </c>
    </row>
    <row r="22" ht="32" customHeight="1">
      <c r="B22" s="26" t="inlineStr">
        <is>
          <t>NPV</t>
        </is>
      </c>
      <c r="C22" s="28" t="inlineStr">
        <is>
          <t>03_Returns</t>
        </is>
      </c>
      <c r="D22" s="52" t="inlineStr">
        <is>
          <t>Sum of PV of FCF at WACC (year-end). Equals FCF0 + NPV(WACC, FCF1:FCF8).</t>
        </is>
      </c>
    </row>
    <row r="23" ht="32" customHeight="1">
      <c r="B23" s="26" t="inlineStr">
        <is>
          <t>IRR</t>
        </is>
      </c>
      <c r="C23" s="28" t="inlineStr">
        <is>
          <t>03_Returns</t>
        </is>
      </c>
      <c r="D23" s="52" t="inlineStr">
        <is>
          <t>IRR of Year 0–8 unlevered FCF. Compared to hurdle IRR.</t>
        </is>
      </c>
    </row>
    <row r="24" ht="32" customHeight="1">
      <c r="B24" s="26" t="inlineStr">
        <is>
          <t>Payback</t>
        </is>
      </c>
      <c r="C24" s="28" t="inlineStr">
        <is>
          <t>03_Returns</t>
        </is>
      </c>
      <c r="D24" s="52" t="inlineStr">
        <is>
          <t>Years until cumulative FCF ≥ 0, interpolating inside the crossing year. No VBA.</t>
        </is>
      </c>
    </row>
    <row r="25" ht="32" customHeight="1">
      <c r="B25" s="26" t="inlineStr">
        <is>
          <t>Discounted payback</t>
        </is>
      </c>
      <c r="C25" s="28" t="inlineStr">
        <is>
          <t>03_Returns</t>
        </is>
      </c>
      <c r="D25" s="52" t="inlineStr">
        <is>
          <t>Same interpolation on cumulative PV of FCF.</t>
        </is>
      </c>
    </row>
    <row r="26" ht="32" customHeight="1">
      <c r="B26" s="26" t="inlineStr">
        <is>
          <t>Profitability index</t>
        </is>
      </c>
      <c r="C26" s="28" t="inlineStr">
        <is>
          <t>03_Returns</t>
        </is>
      </c>
      <c r="D26" s="52" t="inlineStr">
        <is>
          <t>PV of Year 1–8 FCF ÷ Year-0 investment. PI &gt; 1 iff NPV &gt; 0.</t>
        </is>
      </c>
    </row>
    <row r="27" ht="32" customHeight="1">
      <c r="B27" s="26" t="inlineStr">
        <is>
          <t>Simple ROI</t>
        </is>
      </c>
      <c r="C27" s="28" t="inlineStr">
        <is>
          <t>03_Returns</t>
        </is>
      </c>
      <c r="D27" s="52" t="inlineStr">
        <is>
          <t>Average NOPAT (Y1–8) ÷ average book capital. Illustrative, not a full ROIC.</t>
        </is>
      </c>
    </row>
    <row r="28" ht="32" customHeight="1">
      <c r="B28" s="26" t="inlineStr">
        <is>
          <t>Sensitivity grid</t>
        </is>
      </c>
      <c r="C28" s="28" t="inlineStr">
        <is>
          <t>04_Sensitivity</t>
        </is>
      </c>
      <c r="D28" s="52" t="inlineStr">
        <is>
          <t>NPV at each WACC × volume-lift pair, holding other drivers at Assumptions.</t>
        </is>
      </c>
    </row>
    <row r="29" ht="32" customHeight="1">
      <c r="B29" s="26" t="inlineStr">
        <is>
          <t>Tornado</t>
        </is>
      </c>
      <c r="C29" s="28" t="inlineStr">
        <is>
          <t>04_Sensitivity</t>
        </is>
      </c>
      <c r="D29" s="52" t="inlineStr">
        <is>
          <t>NPV at ±10% on capex, lift, price, savings, fixed opex; WACC ±100 bps; tax ±250 bps.</t>
        </is>
      </c>
    </row>
    <row r="30" ht="32" customHeight="1">
      <c r="B30" s="26" t="inlineStr">
        <is>
          <t>Recommendation</t>
        </is>
      </c>
      <c r="C30" s="28" t="inlineStr">
        <is>
          <t>03_Returns</t>
        </is>
      </c>
      <c r="D30" s="52" t="inlineStr">
        <is>
          <t>Proceed if NPV, IRR, and payback hurdles all Pass; else Review.</t>
        </is>
      </c>
    </row>
    <row r="31" ht="32" customHeight="1">
      <c r="B31" s="26" t="inlineStr">
        <is>
          <t>Units</t>
        </is>
      </c>
      <c r="C31" s="28" t="inlineStr">
        <is>
          <t>All</t>
        </is>
      </c>
      <c r="D31" s="52" t="inlineStr">
        <is>
          <t>Dollars in $000s. Volume in 000 cases. Prices and savings in $ per case. Rates in %.</t>
        </is>
      </c>
    </row>
    <row r="32">
      <c r="B32" s="15" t="inlineStr">
        <is>
          <t>All sample numbers are fictional. Built for a public GitHub portfolio — no employer data.</t>
        </is>
      </c>
    </row>
  </sheetData>
  <pageMargins left="0.75" right="0.75" top="1" bottom="1" header="0.5" footer="0.5"/>
  <pageSetup orientation="landscape" paperSize="3" fitToHeight="0" fitToWidth="1"/>
  <headerFooter>
    <oddHeader/>
    <oddFooter>&amp;LNorthline Consumer Products  |  fictional sample  |  $000s&amp;RPage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Sai Siri Bandaru</dc:creator>
  <dc:title>Northline Capex Investment Case</dc:title>
  <dcterms:created xsi:type="dcterms:W3CDTF">2026-09-02T01:31:02Z</dcterms:created>
  <dcterms:modified xsi:type="dcterms:W3CDTF">2026-09-02T01:31:02Z</dcterms:modified>
</cp:coreProperties>
</file>